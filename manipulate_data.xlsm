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Info\atestat\VersenyFelelos\files\"/>
    </mc:Choice>
  </mc:AlternateContent>
  <xr:revisionPtr revIDLastSave="0" documentId="13_ncr:1_{08EE52A2-CBE4-4D53-9C4F-C7A813DB9DCA}" xr6:coauthVersionLast="45" xr6:coauthVersionMax="45" xr10:uidLastSave="{00000000-0000-0000-0000-000000000000}"/>
  <bookViews>
    <workbookView xWindow="-120" yWindow="-120" windowWidth="20730" windowHeight="11760" tabRatio="878" firstSheet="5" activeTab="10" xr2:uid="{7D221F89-BEF1-463F-B6E0-14C83AC9C825}"/>
  </bookViews>
  <sheets>
    <sheet name="osztályok" sheetId="1" r:id="rId1"/>
    <sheet name="Sheet1" sheetId="11" r:id="rId2"/>
    <sheet name="tanárok" sheetId="4" r:id="rId3"/>
    <sheet name="tanárok listája" sheetId="12" r:id="rId4"/>
    <sheet name="jelszavak beállítása" sheetId="10" r:id="rId5"/>
    <sheet name="adattábla létrehozás" sheetId="13" r:id="rId6"/>
    <sheet name="versenyek frissitese" sheetId="5" r:id="rId7"/>
    <sheet name="országos olimpiák" sheetId="6" r:id="rId8"/>
    <sheet name="támogatott versenyek" sheetId="7" r:id="rId9"/>
    <sheet name="nem támogatott versenyek" sheetId="8" r:id="rId10"/>
    <sheet name="pontszámok" sheetId="9" r:id="rId11"/>
    <sheet name="resources" sheetId="3" r:id="rId1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2" i="9" l="1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1" i="11"/>
</calcChain>
</file>

<file path=xl/sharedStrings.xml><?xml version="1.0" encoding="utf-8"?>
<sst xmlns="http://schemas.openxmlformats.org/spreadsheetml/2006/main" count="1641" uniqueCount="348">
  <si>
    <t>Diákok:</t>
  </si>
  <si>
    <t>Osztály</t>
  </si>
  <si>
    <t>12r</t>
  </si>
  <si>
    <t>Lehetséges osztályok</t>
  </si>
  <si>
    <t>1a</t>
  </si>
  <si>
    <t>1b</t>
  </si>
  <si>
    <t>2a</t>
  </si>
  <si>
    <t>2b</t>
  </si>
  <si>
    <t>3a</t>
  </si>
  <si>
    <t>3b</t>
  </si>
  <si>
    <t>4a</t>
  </si>
  <si>
    <t>4b</t>
  </si>
  <si>
    <t>5a</t>
  </si>
  <si>
    <t>5b</t>
  </si>
  <si>
    <t>6a</t>
  </si>
  <si>
    <t>6b</t>
  </si>
  <si>
    <t>6c</t>
  </si>
  <si>
    <t>7a</t>
  </si>
  <si>
    <t>7b</t>
  </si>
  <si>
    <t>8a</t>
  </si>
  <si>
    <t>9h</t>
  </si>
  <si>
    <t>9r</t>
  </si>
  <si>
    <t>10h</t>
  </si>
  <si>
    <t>10r</t>
  </si>
  <si>
    <t>11h</t>
  </si>
  <si>
    <t>11r</t>
  </si>
  <si>
    <t>12h</t>
  </si>
  <si>
    <t>Albert Hajnalka</t>
  </si>
  <si>
    <t>Tanárok</t>
  </si>
  <si>
    <t>András Ákos</t>
  </si>
  <si>
    <t>Apáczai Csilla</t>
  </si>
  <si>
    <t>közgazdaságtan</t>
  </si>
  <si>
    <t>testnevelés</t>
  </si>
  <si>
    <t>vallás</t>
  </si>
  <si>
    <t>Balon-Ruff Andrea</t>
  </si>
  <si>
    <t>Bárdos Réka-Tekla</t>
  </si>
  <si>
    <t>Bartha Bea</t>
  </si>
  <si>
    <t>Bicăzan Silvana</t>
  </si>
  <si>
    <t>angol nyelv</t>
  </si>
  <si>
    <t>német nyelv</t>
  </si>
  <si>
    <t>román nyelv</t>
  </si>
  <si>
    <t>Boda Attila</t>
  </si>
  <si>
    <t>Boér Ágota</t>
  </si>
  <si>
    <t>Bréda Ildikó</t>
  </si>
  <si>
    <t>Cadar Anamaria</t>
  </si>
  <si>
    <t>Cozma Gabriella</t>
  </si>
  <si>
    <t>magyar nyelv</t>
  </si>
  <si>
    <t>Cserei Botond</t>
  </si>
  <si>
    <t>Deák Angéla</t>
  </si>
  <si>
    <t>Dénes Éva</t>
  </si>
  <si>
    <t>Fetti Lavinia-ionela</t>
  </si>
  <si>
    <t>Finta Erika</t>
  </si>
  <si>
    <t>Fodor Ilka-Borbála</t>
  </si>
  <si>
    <t>zene</t>
  </si>
  <si>
    <t>Jakabházi Annamária</t>
  </si>
  <si>
    <t>matematika</t>
  </si>
  <si>
    <t>Józsa Izabella</t>
  </si>
  <si>
    <t>fizika</t>
  </si>
  <si>
    <t>Halmágyi Enikő</t>
  </si>
  <si>
    <t>Kaupert Melinda</t>
  </si>
  <si>
    <t>informatika</t>
  </si>
  <si>
    <t>Keresztesi Polixénia</t>
  </si>
  <si>
    <t>pszichológia</t>
  </si>
  <si>
    <t>Kürthy Katalin</t>
  </si>
  <si>
    <t>Kiss Bíborka</t>
  </si>
  <si>
    <t>Kocsis Ildikó</t>
  </si>
  <si>
    <t>rajz</t>
  </si>
  <si>
    <t>Komjátszegi-Fábián Réka</t>
  </si>
  <si>
    <t>Korodi Alpár</t>
  </si>
  <si>
    <t>történelem</t>
  </si>
  <si>
    <t>Kovács László</t>
  </si>
  <si>
    <t>Kovács Mirjam Petra</t>
  </si>
  <si>
    <t>Máthé Ildikó</t>
  </si>
  <si>
    <t>Miklós Márta</t>
  </si>
  <si>
    <t>Nagy Tünde</t>
  </si>
  <si>
    <t>logika</t>
  </si>
  <si>
    <t>Nyitrai János</t>
  </si>
  <si>
    <t>Ördög Ödön</t>
  </si>
  <si>
    <t>Pálfi Levente</t>
  </si>
  <si>
    <t>tanitó</t>
  </si>
  <si>
    <t>Péter Rozália</t>
  </si>
  <si>
    <t>kémia</t>
  </si>
  <si>
    <t>Popa Márta</t>
  </si>
  <si>
    <t>Pop Éva-Katalin</t>
  </si>
  <si>
    <t>Popescu Teodora</t>
  </si>
  <si>
    <t>Rácz Mária</t>
  </si>
  <si>
    <t xml:space="preserve">Selyem Tünde </t>
  </si>
  <si>
    <t>Solymosi Zsolt</t>
  </si>
  <si>
    <t>Sólyom Vivien-Anna</t>
  </si>
  <si>
    <t>biológia</t>
  </si>
  <si>
    <t>Szász Botond</t>
  </si>
  <si>
    <t>Szekernyés Réka</t>
  </si>
  <si>
    <t>Timár Mária</t>
  </si>
  <si>
    <t>Török Melinda</t>
  </si>
  <si>
    <t>Udvari Zita</t>
  </si>
  <si>
    <t>Varga Gabriella</t>
  </si>
  <si>
    <t>Varga Ildikó</t>
  </si>
  <si>
    <t>Vorzsák Milán</t>
  </si>
  <si>
    <t>földrajz</t>
  </si>
  <si>
    <t>polgári nevelés</t>
  </si>
  <si>
    <t>multidisciplináris</t>
  </si>
  <si>
    <t>Verseny neve</t>
  </si>
  <si>
    <t>tantárgy</t>
  </si>
  <si>
    <t>OLIMPIADA INTERNAȚIONALA DE LIMBA GERMANĂ</t>
  </si>
  <si>
    <t>CAMPIONATUL MONDIAL DE DEZBATERI PENTRU ELEVI – WORLD SCHOOLS DEBATING</t>
  </si>
  <si>
    <t>OLIMPIADA INTERNAȚIONALĂ DE  MATEMATICĂ</t>
  </si>
  <si>
    <t>OLIMPIADA INTERNAȚIONALĂ DE FIZICĂ</t>
  </si>
  <si>
    <t>CONCURSUL INTERNAȚIONAL „YOUNG PHYSICIST TOURNAMENT”</t>
  </si>
  <si>
    <t>OLIMPIADA INTERNAȚIONALĂ DE  CHIMIE</t>
  </si>
  <si>
    <t>OLIMPIADA INTERNAȚIONALĂ DE  BIOLOGIE</t>
  </si>
  <si>
    <t>OLIMPIADA INTERNAȚIONALĂ DE FILOSOFIE</t>
  </si>
  <si>
    <t>OLIMPIADA INTERNAȚIONALĂ DE GEOGRAFIE</t>
  </si>
  <si>
    <t>filozófia</t>
  </si>
  <si>
    <t>OLIMPIADA INTERNAȚIONALĂ DE INFORMATICĂ (IOI)</t>
  </si>
  <si>
    <t>OLIMPIADA INTERNAȚIONALĂ DE INFORMATICĂ ÎN ECHIPE – IOIT</t>
  </si>
  <si>
    <t>OLIMPIADA INTERNAȚIONALĂ DE LINGVISTICĂ</t>
  </si>
  <si>
    <t>OLIMPIADA INTERNAŢIONALĂ DE  ASTRONOMIE  ȘI ASTROFIZICĂ</t>
  </si>
  <si>
    <t>OLIMPIADA INTERNAȚIONALĂ DE ASTRONOMIE</t>
  </si>
  <si>
    <t>OLIMPIADA INTERNAȚIONALĂDE ASTRONOMIE ȘI ȘTIINȚELE SPAȚIULUI PENTRU JUNIORI – EDIȚIE PILOT (CLS. VII – IX)</t>
  </si>
  <si>
    <t>OLIMPIADA INTERNAȚIONALĂ STIINTELE PĂMÂNTULUI</t>
  </si>
  <si>
    <t>OLIMPIADA INTERNAŢIONALĂ DE ŞTIINŢE PENTRU JUNIORI</t>
  </si>
  <si>
    <t>OLIMPIADA INTERNAȚIONALĂ DE LATINĂ - ARPINO</t>
  </si>
  <si>
    <t>OLIMPIADA INTERNAȚIONALĂ DE  LATINĂ - HORATIANUM</t>
  </si>
  <si>
    <t>latin</t>
  </si>
  <si>
    <t>OLIMPIADA INTERNAŢIONALĂ DE LIMBĂ, LITERATURĂ ȘI CULTURĂ MAGHIARĂ „APÀCZAI CSERE JÀNOS”</t>
  </si>
  <si>
    <t>OLIMPIADA EUROPEANĂ DE MATEMATICĂ PENTRU FETE</t>
  </si>
  <si>
    <t>OLIMPIADA DE FIZICĂ A UNIUNII EUROPENE</t>
  </si>
  <si>
    <t>OLIMPIADA BALCANICĂ DE MATEMATICĂ PENTRU SENIORI (BMO)</t>
  </si>
  <si>
    <t>OLIMPIADA BALCANICĂ DE MATEMATICĂ PENTRU JUNIORI</t>
  </si>
  <si>
    <t>OLIMPIADA DE MATEMATICĂ PENTRU LICEELE MAGHIARE DIN EUROPA</t>
  </si>
  <si>
    <t>OLIMPIADA DE MATEMATICĂ PENTRU GIMNAZIILE MAGHIARE DIN EUROPA</t>
  </si>
  <si>
    <t>OLIMPIADA INTERNAȚIONALĂ DE FIZICĂ A ȚĂRILOR DIN ASIA</t>
  </si>
  <si>
    <t>BALCANIADA DE FIZICĂ – BALKAN PHYSICAL OLIMPIAD BPO</t>
  </si>
  <si>
    <t xml:space="preserve">OLIMPIADA INTERNAȚIONALĂ DE  CHIMIE „D. Mendeleev" </t>
  </si>
  <si>
    <t>OLIMPIADA EUROPEANĂ DE GEOGRAFIE</t>
  </si>
  <si>
    <t>BALCANIADA DE INFORMATICĂ</t>
  </si>
  <si>
    <t>OLIMPIADA DE INFORMATICĂ A ȚĂRILOR DIN EUROPA CENTRALĂ</t>
  </si>
  <si>
    <t>TURNEUL INTERNAȚIONAL DE INFORMATICĂ „John Atanasoff”</t>
  </si>
  <si>
    <t>BALCANIADA DE INFORMATICĂ PENTRU JUNIORI</t>
  </si>
  <si>
    <t>OLIMPIADA EUROPEANA DE INFORMATICĂ PENTRU JUNIORI</t>
  </si>
  <si>
    <t>LIMBA ŞI LITERATURA ROMÂNĂ (cls. V-XII)</t>
  </si>
  <si>
    <t>LECTURA CA ABILITATE DE VIAȚĂ (cls. IX-XII)</t>
  </si>
  <si>
    <t>LIMBA ŞI LITERATURA ROMÂNĂ PENTRU ȘCOLI/SECȚII CU PREDARE ÎN LIMBILE MINORITĂȚILOR ȘI PENTRU ROMÂNII DIN DIASPORA (cls. V-VIII)</t>
  </si>
  <si>
    <t>LIMBA ŞI LITERATURA ROMÂNĂ (cls. IX-XII)</t>
  </si>
  <si>
    <t>LIMBA ȘI LITERATURA MAGHIARĂ MATERNĂ</t>
  </si>
  <si>
    <t>LIMBA ENGLEZĂ</t>
  </si>
  <si>
    <t>MATEMATICĂ</t>
  </si>
  <si>
    <t>ASTRONOMIE ȘI ASTROFIZICĂ</t>
  </si>
  <si>
    <t>FIZICĂ</t>
  </si>
  <si>
    <t>CHIMIE</t>
  </si>
  <si>
    <t>BIOLOGIE</t>
  </si>
  <si>
    <t>INFORMATICĂ</t>
  </si>
  <si>
    <t>OLIMPIADA NAȚIONALĂ DE MATEMATICĂ PENTRU ȘCOLILE/SECȚIILE CU PREDARE ÎN LIMBA MAGHIARĂ (cls. V-XII)</t>
  </si>
  <si>
    <t>GEOGRAFIE (cls. VIII-XII)</t>
  </si>
  <si>
    <t>OLIMPIADA DE INFORMATICĂ ÎN ECHIPE</t>
  </si>
  <si>
    <t>TEHNOLOGIA INFORMAȚIEI</t>
  </si>
  <si>
    <t>ISTORIE</t>
  </si>
  <si>
    <t>STIINŢE SOCIO-UMANE</t>
  </si>
  <si>
    <t>OLIMPIADA DE INFORMATICĂ APLICATĂ „AcadNet”</t>
  </si>
  <si>
    <t>OLIMPIADA DE INOVARE ȘI CREATIVITATE DIGITALĂ - InfoEducație</t>
  </si>
  <si>
    <t xml:space="preserve"> RELIGIE – Cultul ROMANO-CATOLIC de Limba maghiară (cls. V-XII)</t>
  </si>
  <si>
    <t>RELIGIE – Cultele: REFORMAT, EVANGHELIC  ȘI UNITARIAN (cls. V-XII)</t>
  </si>
  <si>
    <t>ISTORIA ȘI TRADIȚIILE MINORITĂȚII MAGHIARE DIN ROMĂNIA</t>
  </si>
  <si>
    <t>OLIMPIADA CORALĂ</t>
  </si>
  <si>
    <t>ARTE VIZUALE, ARHITECTURĂ şi ISTORIA ARTELOR (cls. XI-XII)</t>
  </si>
  <si>
    <t>MUZICĂ - Interpretare instrumentală, vocală şi studii teoretice - (cls.IX-XII)</t>
  </si>
  <si>
    <t>MUZICĂ - Interpretare instrumentală – (cls.III-VIII)</t>
  </si>
  <si>
    <t>CONCURSUL DE ORTOGRAFIE „SIMONYI ZSIGMOND”</t>
  </si>
  <si>
    <t>CONCURSUL NAȚIONAL DE ORTOGRAFIE „IMPLOM JÓZSEF”</t>
  </si>
  <si>
    <t>CONCURSUL NAȚIONAL DE ORTOGRAFIE „FÜRKÉSZ”</t>
  </si>
  <si>
    <t>CONCURSUL DE RECITARE „VIDÁM VERSEK VERSMONDÓ VERSENYE”</t>
  </si>
  <si>
    <t>CONCURSUL DE RECITARE BALADE ȘI BASME POPULARE „KRIZA JÁNOS”</t>
  </si>
  <si>
    <t xml:space="preserve"> CONCURSUL NAȚIONAL „KÁNYÁDI SÁNDOR”</t>
  </si>
  <si>
    <t>CONCURSUL NAȚIONAL DE ORTOEPIE ȘI DE CULTIVARE A LIMBII MAGHIARE „ARANKA GYORGY”</t>
  </si>
  <si>
    <t>CONCURSUL DE POVEȘTI „MESÉK SZÁRNYÁN”</t>
  </si>
  <si>
    <t>CONCURSUL DE INTERPRETARE DE LEGENDE POPULARE ÎN LIMBA MAGHIARĂ „LUMEA LEGENDELOR-REGEMONDÓ”</t>
  </si>
  <si>
    <t xml:space="preserve"> CONCURSUL NAȚIONAL DE RECITARE „ATLANTISZ HARANGOZ”</t>
  </si>
  <si>
    <t>CONCURSUL DE ENGLEZĂ SPEAK OUT!</t>
  </si>
  <si>
    <t>CONCURSUL DE MATEMATICĂ „OLIMPIADA SATELOR DIN ROMÂNIA”</t>
  </si>
  <si>
    <t>CONCURSUL DE MATEMATICĂ APLICATĂ „ADOLF HAIMOVICI”</t>
  </si>
  <si>
    <t>CONCURSUL DE MATEMATICĂ „BRENYÓ MIHÁLY”</t>
  </si>
  <si>
    <t>CONCURSUL DE MATEMATICĂ „CSILLAGSZERZŐ”</t>
  </si>
  <si>
    <t>CONCURSUL DE FIZICĂ „EVRIKA”</t>
  </si>
  <si>
    <t>CONCURSUL DE FIZICĂ “ÖVEGES JÓZSEF-VERMES MIKLÓS”</t>
  </si>
  <si>
    <t>CONCURSUL  MULTIDISCIPLINAR „BOLYAI FARKAS”</t>
  </si>
  <si>
    <t>CONCURSUL  NAȚIONAL INTERDISCIPLINAR DE COMUNICÂRI ȘTIINȚIFICE „TUDEK”</t>
  </si>
  <si>
    <t>CONCURSUL NAȚIONAL TRANSDISCIPLINAR “ÖRÖKSÉGÜNK ŐREI – PROTECTORII PATRIMONIULUI“</t>
  </si>
  <si>
    <t>CONCURSUL DE INFORMATICĂ
„NEMES TIHAMÉR”</t>
  </si>
  <si>
    <t>CONCURSUL DE CHIMIE
„HEVESY GYÖRGY”</t>
  </si>
  <si>
    <t>CONCURSUL DE CHIMIE
„IRINYI JÁNOS”</t>
  </si>
  <si>
    <t>CONCURSUL TRANSFRONTALIER
„BARANGOLÁS EURÓPÁBAN”</t>
  </si>
  <si>
    <t>CONCURSUL NAȚIONAL DE BIOLOGIE "GELEI JÓZSEF"</t>
  </si>
  <si>
    <t>CONCURSUL DE GEOGRAFIE "TELEKI PÁL"</t>
  </si>
  <si>
    <t>CONCURSUL NAȚIONAL DE LIMBĂ ȘI CULTURĂ MAGHIARĂ  „KÖRÖSI CSOMA SÁNDOR”</t>
  </si>
  <si>
    <t>CONCURSUL NAȚIONAL TRANSDISCIPLINAR ÎN LIMBA MAGHIARĂ „BÖLCS DIÁKOK“</t>
  </si>
  <si>
    <t>CONCURSUL NAȚIONAL DE FIZICĂ ÎN LIMBA MAGHIARĂ „ALFA ȘI OMEGA“</t>
  </si>
  <si>
    <t>CONCURSUL DE DANSURI POULARE PENTRU ȘCOLILE/SECȚIILE CU PREDARE ÎN LIMBA MAGHIARĂ ”Gyermek szóló táncverseny”</t>
  </si>
  <si>
    <t>CONCURSUL DE DEZBATERI ÎN LIMBA ENGLEZĂ</t>
  </si>
  <si>
    <t>CONCURSUL DE LIMBĂ ENGLEZĂ „QUEST”</t>
  </si>
  <si>
    <t>FESTIVALUL NAȚIONAL DE TEATRU ÎN LIMBA ENGLEZĂ PENTRU ELEVI „COME WITH US TO DRAMALAND”</t>
  </si>
  <si>
    <t>IAŞI MODEL UNITED NATIONS CONFERENCES (IAŞIMUN)</t>
  </si>
  <si>
    <t>CONCURSUL NAȚIONAL „TEHNOLOGIA ZILEI EUROPENE A LIMBILOR”</t>
  </si>
  <si>
    <t>CONCURSUL „IM WUNDERSCHNEN MONAT MAI”</t>
  </si>
  <si>
    <t>CONCURSUL „ ICH LIEBE DEUTSCH”</t>
  </si>
  <si>
    <t>CONCURSUL „SPAß AUF DEUTSCH°</t>
  </si>
  <si>
    <t>CONCURSUL „MICUL ȘCOLAR”</t>
  </si>
  <si>
    <t>CONCURSUL „ROMANIAN MASTER IN MATHEMATICS”</t>
  </si>
  <si>
    <t>CONCURSUL „TEHNICI MATEMATICE”</t>
  </si>
  <si>
    <t>CONCURSUL NAȚIONAL DE MATEMATICĂ „L. PANAITOPOL”</t>
  </si>
  <si>
    <t>CONCURSUL DE FIZICĂ „Φ”</t>
  </si>
  <si>
    <t>CONCURSUL DE ASTRONOMIE ŞI ASTROFIZICĂ „MARIN DACIAN BICA”</t>
  </si>
  <si>
    <t>CONCURSUL „ROMANIAN MASTER IN PHYSICS”</t>
  </si>
  <si>
    <t>CONCURSUL „ROMANIAN MASTER IN COMPUTER SCIENCE”</t>
  </si>
  <si>
    <t>CONCURSUL DE FIZICĂ „FLORIN VASILESCU”</t>
  </si>
  <si>
    <t>CONCURSUL „BEBRAS ROMÂNIA”</t>
  </si>
  <si>
    <t>CONCURSUL „ISCRATCH”</t>
  </si>
  <si>
    <t>CONCURSUL DE UTILIZARE A CALCULATORULUI „DUAL PC”</t>
  </si>
  <si>
    <t>CONCURSUL NAȚIONAL DE PROGRAMARE INFO(1)CUP</t>
  </si>
  <si>
    <t>OLIMPIADA SPORTIVĂ A LICEELOR MAGHIARE</t>
  </si>
  <si>
    <t>Kategóra</t>
  </si>
  <si>
    <t>Tantárgy</t>
  </si>
  <si>
    <t>támogatott</t>
  </si>
  <si>
    <t>nem tamogatott</t>
  </si>
  <si>
    <t>olimpia</t>
  </si>
  <si>
    <t>OLIMPIADA DE LIMBA ENGLEZĂ</t>
  </si>
  <si>
    <t>OLIMPIADA DE MATEMATICĂ</t>
  </si>
  <si>
    <t>OLIMPIADA DE ASTRONOMIE ȘI ASTROFIZICĂ</t>
  </si>
  <si>
    <t>OLIMPIADADE  FIZICĂ</t>
  </si>
  <si>
    <t>OLIMPIADA DE CHIMIE</t>
  </si>
  <si>
    <t>OLIMPIADA DE BIOLOGIE</t>
  </si>
  <si>
    <t>OLIMPIADA DE GEOGRAFIE (cls. VIII-XII)</t>
  </si>
  <si>
    <t>OLIMPIADA DE INFORMATICĂ</t>
  </si>
  <si>
    <t>OLIMPIADA DE TEHNOLOGIA INFORMAȚIEI</t>
  </si>
  <si>
    <t>OLIMPIADA DE ISTORIE</t>
  </si>
  <si>
    <t>OLIMPIADA DE  RELIGIE – Cultul ROMANO-CATOLIC de Limba maghiară (cls. V-XII)</t>
  </si>
  <si>
    <t>OLIMPIADA DE RELIGIE – Cultele: REFORMAT, EVANGHELIC  ȘI UNITARIAN (cls. V-XII)</t>
  </si>
  <si>
    <t>OLIMPIADA DE ISTORIA ȘI TRADIȚIILE MINORITĂȚII MAGHIARE DIN ROMĂNIA</t>
  </si>
  <si>
    <t>OLIMPIADA DE STIINŢE SOCIO-UMANE</t>
  </si>
  <si>
    <t>OLIMPIADA DE ARTE VIZUALE, ARHITECTURĂ şi ISTORIA ARTELOR (cls. XI-XII)</t>
  </si>
  <si>
    <t>OLIMPIADA DE MUZICĂ - Interpretare instrumentală, vocală şi studii teoretice - (cls.IX-XII)</t>
  </si>
  <si>
    <t>OLIMPIADA DE MUZICĂ - Interpretare instrumentală – (cls.III-VIII)</t>
  </si>
  <si>
    <t>kategoria</t>
  </si>
  <si>
    <t>szakasz</t>
  </si>
  <si>
    <t>eredmeny</t>
  </si>
  <si>
    <t>tipus</t>
  </si>
  <si>
    <t>diak</t>
  </si>
  <si>
    <t>tanar</t>
  </si>
  <si>
    <t>helyi</t>
  </si>
  <si>
    <t>reszvetel</t>
  </si>
  <si>
    <t>egyeni</t>
  </si>
  <si>
    <t>csapatos</t>
  </si>
  <si>
    <t>kulondij</t>
  </si>
  <si>
    <t>dicseret</t>
  </si>
  <si>
    <t>megyei</t>
  </si>
  <si>
    <t>regionalis</t>
  </si>
  <si>
    <t>orszagos</t>
  </si>
  <si>
    <t>nemzetkozi</t>
  </si>
  <si>
    <t>tamogatott</t>
  </si>
  <si>
    <t>Mas</t>
  </si>
  <si>
    <t>Tanar felhasználó jelszava</t>
  </si>
  <si>
    <t>versenyek</t>
  </si>
  <si>
    <t>Admin felhasználó jelszava</t>
  </si>
  <si>
    <t>Diákok felhasználóinak jelszava</t>
  </si>
  <si>
    <t>janos</t>
  </si>
  <si>
    <t>4c</t>
  </si>
  <si>
    <t>8b</t>
  </si>
  <si>
    <t>0a</t>
  </si>
  <si>
    <t>0b</t>
  </si>
  <si>
    <t>RÓBERT  </t>
  </si>
  <si>
    <t>MÁRK  </t>
  </si>
  <si>
    <t>SAROLTA  </t>
  </si>
  <si>
    <t>ANDRUS</t>
  </si>
  <si>
    <t>BALLO</t>
  </si>
  <si>
    <t>ORSOLYA KINGA</t>
  </si>
  <si>
    <t>BORSOS</t>
  </si>
  <si>
    <t>SÁMUEL  </t>
  </si>
  <si>
    <t>BOTH</t>
  </si>
  <si>
    <t>INGRID BIBORKA</t>
  </si>
  <si>
    <t>CSÁKI</t>
  </si>
  <si>
    <t>OLIVIA  </t>
  </si>
  <si>
    <t>DOZSA</t>
  </si>
  <si>
    <t>SÁMUEL SÁNDOR</t>
  </si>
  <si>
    <t>FOGARASI</t>
  </si>
  <si>
    <t>ARTÚR  </t>
  </si>
  <si>
    <t>GERGELY</t>
  </si>
  <si>
    <t>VIKTOR  </t>
  </si>
  <si>
    <t>HALMÁGYI</t>
  </si>
  <si>
    <t>HUNOR  </t>
  </si>
  <si>
    <t>HARAUSZ</t>
  </si>
  <si>
    <t>IACOB</t>
  </si>
  <si>
    <t>OLIVIA BEATRICE</t>
  </si>
  <si>
    <t>JANKÓ</t>
  </si>
  <si>
    <t>BOTOND-SZILVESZTER  </t>
  </si>
  <si>
    <t>KÖNTÉS</t>
  </si>
  <si>
    <t>LÉDA  </t>
  </si>
  <si>
    <t>PALFFI</t>
  </si>
  <si>
    <t>PAP</t>
  </si>
  <si>
    <t>CSENGE</t>
  </si>
  <si>
    <t>PETRUȘCA</t>
  </si>
  <si>
    <t>VLADIMIR MIHAI</t>
  </si>
  <si>
    <t>RAZMAN-VIRÁGH</t>
  </si>
  <si>
    <t>BALÁZS  </t>
  </si>
  <si>
    <t>SEBESTEN</t>
  </si>
  <si>
    <t>ANNA  </t>
  </si>
  <si>
    <t>SERESTÉLY</t>
  </si>
  <si>
    <t>SZATMÁRY</t>
  </si>
  <si>
    <t>BOTOND-KRISZTIÁN  </t>
  </si>
  <si>
    <t>VALKAI </t>
  </si>
  <si>
    <t>ZSÓFIA</t>
  </si>
  <si>
    <t>VINCZE</t>
  </si>
  <si>
    <t>MÁRTA  </t>
  </si>
  <si>
    <t>ZSIGMOND</t>
  </si>
  <si>
    <t>ADRIENN  </t>
  </si>
  <si>
    <t>ANDRUS RÓBERT  </t>
  </si>
  <si>
    <t>BALLO ORSOLYA KINGA</t>
  </si>
  <si>
    <t>BORSOS SÁMUEL  </t>
  </si>
  <si>
    <t>BOTH INGRID BIBORKA</t>
  </si>
  <si>
    <t>CSÁKI OLIVIA  </t>
  </si>
  <si>
    <t>DOZSA SÁMUEL SÁNDOR</t>
  </si>
  <si>
    <t>FOGARASI ARTÚR  </t>
  </si>
  <si>
    <t>GERGELY VIKTOR  </t>
  </si>
  <si>
    <t>HALMÁGYI HUNOR  </t>
  </si>
  <si>
    <t>HARAUSZ MÁRK  </t>
  </si>
  <si>
    <t>IACOB OLIVIA BEATRICE</t>
  </si>
  <si>
    <t>JANKÓ BOTOND-SZILVESZTER  </t>
  </si>
  <si>
    <t>KÖNTÉS LÉDA  </t>
  </si>
  <si>
    <t>PALFFI SAROLTA  </t>
  </si>
  <si>
    <t>PAP CSENGE</t>
  </si>
  <si>
    <t>PETRUȘCA VLADIMIR MIHAI</t>
  </si>
  <si>
    <t>RAZMAN-VIRÁGH BALÁZS  </t>
  </si>
  <si>
    <t>SEBESTEN ANNA  </t>
  </si>
  <si>
    <t>SERESTÉLY SÁMUEL  </t>
  </si>
  <si>
    <t>SZATMÁRY BOTOND-KRISZTIÁN  </t>
  </si>
  <si>
    <t>VALKAI  ZSÓFIA</t>
  </si>
  <si>
    <t>VINCZE MÁRTA  </t>
  </si>
  <si>
    <t>ZSIGMOND ADRIENN  </t>
  </si>
  <si>
    <t>Osztályok</t>
  </si>
  <si>
    <t>Szakasz</t>
  </si>
  <si>
    <t>elemi</t>
  </si>
  <si>
    <t>gimnázium</t>
  </si>
  <si>
    <t>líceum</t>
  </si>
  <si>
    <t>Szak</t>
  </si>
  <si>
    <t>a</t>
  </si>
  <si>
    <t>b</t>
  </si>
  <si>
    <t>c</t>
  </si>
  <si>
    <t>h</t>
  </si>
  <si>
    <t>r</t>
  </si>
  <si>
    <t>varosi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</si>
</sst>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ill="1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1" fillId="0" borderId="0" xfId="0" applyFont="1" applyFill="1"/>
    <xf numFmtId="0" fontId="2" fillId="0" borderId="0" xfId="0" applyFont="1" applyAlignment="1">
      <alignment vertical="center" wrapText="1"/>
    </xf>
    <xf numFmtId="0" fontId="3" fillId="2" borderId="0" xfId="0" applyFont="1" applyFill="1" applyAlignment="1">
      <alignment horizontal="center" vertical="center"/>
    </xf>
    <xf numFmtId="0" fontId="0" fillId="0" borderId="0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Alignment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4" fillId="3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180975</xdr:rowOff>
        </xdr:from>
        <xdr:to>
          <xdr:col>5</xdr:col>
          <xdr:colOff>9525</xdr:colOff>
          <xdr:row>2</xdr:row>
          <xdr:rowOff>161925</xdr:rowOff>
        </xdr:to>
        <xdr:sp macro="" textlink="">
          <xdr:nvSpPr>
            <xdr:cNvPr id="1026" name="beszu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5</xdr:col>
          <xdr:colOff>19050</xdr:colOff>
          <xdr:row>2</xdr:row>
          <xdr:rowOff>0</xdr:rowOff>
        </xdr:to>
        <xdr:sp macro="" textlink="">
          <xdr:nvSpPr>
            <xdr:cNvPr id="2049" name="tanarokMent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0</xdr:row>
          <xdr:rowOff>0</xdr:rowOff>
        </xdr:from>
        <xdr:to>
          <xdr:col>9</xdr:col>
          <xdr:colOff>381000</xdr:colOff>
          <xdr:row>2</xdr:row>
          <xdr:rowOff>66675</xdr:rowOff>
        </xdr:to>
        <xdr:sp macro="" textlink="">
          <xdr:nvSpPr>
            <xdr:cNvPr id="2051" name="tanarokUrites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9525</xdr:rowOff>
        </xdr:from>
        <xdr:to>
          <xdr:col>3</xdr:col>
          <xdr:colOff>19050</xdr:colOff>
          <xdr:row>0</xdr:row>
          <xdr:rowOff>371475</xdr:rowOff>
        </xdr:to>
        <xdr:sp macro="" textlink="">
          <xdr:nvSpPr>
            <xdr:cNvPr id="10241" name="tanarJelszoMentes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19050</xdr:rowOff>
        </xdr:from>
        <xdr:to>
          <xdr:col>7</xdr:col>
          <xdr:colOff>9525</xdr:colOff>
          <xdr:row>0</xdr:row>
          <xdr:rowOff>381000</xdr:rowOff>
        </xdr:to>
        <xdr:sp macro="" textlink="">
          <xdr:nvSpPr>
            <xdr:cNvPr id="10243" name="adminJelszoMent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11</xdr:col>
          <xdr:colOff>9525</xdr:colOff>
          <xdr:row>0</xdr:row>
          <xdr:rowOff>361950</xdr:rowOff>
        </xdr:to>
        <xdr:sp macro="" textlink="">
          <xdr:nvSpPr>
            <xdr:cNvPr id="10244" name="diakokJelszavanakMentes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0</xdr:rowOff>
        </xdr:from>
        <xdr:to>
          <xdr:col>6</xdr:col>
          <xdr:colOff>333375</xdr:colOff>
          <xdr:row>2</xdr:row>
          <xdr:rowOff>66675</xdr:rowOff>
        </xdr:to>
        <xdr:sp macro="" textlink="">
          <xdr:nvSpPr>
            <xdr:cNvPr id="13313" name="letrehozOsztalyok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12</xdr:col>
          <xdr:colOff>28575</xdr:colOff>
          <xdr:row>2</xdr:row>
          <xdr:rowOff>85725</xdr:rowOff>
        </xdr:to>
        <xdr:sp macro="" textlink="">
          <xdr:nvSpPr>
            <xdr:cNvPr id="13314" name="letrehozEredmenyek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9525</xdr:rowOff>
        </xdr:from>
        <xdr:to>
          <xdr:col>4</xdr:col>
          <xdr:colOff>514350</xdr:colOff>
          <xdr:row>1</xdr:row>
          <xdr:rowOff>161925</xdr:rowOff>
        </xdr:to>
        <xdr:sp macro="" textlink="">
          <xdr:nvSpPr>
            <xdr:cNvPr id="5121" name="versenyListaFrissit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152400</xdr:rowOff>
        </xdr:from>
        <xdr:to>
          <xdr:col>9</xdr:col>
          <xdr:colOff>219075</xdr:colOff>
          <xdr:row>2</xdr:row>
          <xdr:rowOff>171450</xdr:rowOff>
        </xdr:to>
        <xdr:sp macro="" textlink="">
          <xdr:nvSpPr>
            <xdr:cNvPr id="9217" name="pontszamokMentes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67C-9980-437C-AE93-26818C453297}">
  <sheetPr codeName="Sheet1"/>
  <dimension ref="A1:J24"/>
  <sheetViews>
    <sheetView workbookViewId="0">
      <selection activeCell="C2" sqref="C2"/>
    </sheetView>
  </sheetViews>
  <sheetFormatPr defaultRowHeight="15" x14ac:dyDescent="0.25"/>
  <cols>
    <col min="2" max="2" width="23.7109375" bestFit="1" customWidth="1"/>
    <col min="3" max="3" width="15" bestFit="1" customWidth="1"/>
    <col min="4" max="4" width="12.85546875" bestFit="1" customWidth="1"/>
    <col min="10" max="10" width="20" bestFit="1" customWidth="1"/>
  </cols>
  <sheetData>
    <row r="1" spans="1:10" x14ac:dyDescent="0.25">
      <c r="A1" s="1"/>
      <c r="B1" s="2" t="s">
        <v>0</v>
      </c>
      <c r="C1" s="2" t="s">
        <v>1</v>
      </c>
      <c r="D1" s="3"/>
      <c r="E1" s="3"/>
      <c r="F1" s="1"/>
      <c r="G1" s="1"/>
      <c r="H1" s="1"/>
      <c r="I1" s="1"/>
      <c r="J1" s="5"/>
    </row>
    <row r="2" spans="1:10" x14ac:dyDescent="0.25">
      <c r="A2" s="1"/>
      <c r="B2" t="s">
        <v>313</v>
      </c>
      <c r="C2" s="1" t="s">
        <v>267</v>
      </c>
    </row>
    <row r="3" spans="1:10" x14ac:dyDescent="0.25">
      <c r="A3" s="1"/>
      <c r="B3" t="s">
        <v>314</v>
      </c>
      <c r="C3" s="1"/>
    </row>
    <row r="4" spans="1:10" x14ac:dyDescent="0.25">
      <c r="A4" s="1"/>
      <c r="B4" t="s">
        <v>315</v>
      </c>
      <c r="C4" s="1"/>
    </row>
    <row r="5" spans="1:10" x14ac:dyDescent="0.25">
      <c r="A5" s="1"/>
      <c r="B5" t="s">
        <v>316</v>
      </c>
      <c r="C5" s="1"/>
    </row>
    <row r="6" spans="1:10" x14ac:dyDescent="0.25">
      <c r="A6" s="1"/>
      <c r="B6" t="s">
        <v>317</v>
      </c>
      <c r="C6" s="1"/>
    </row>
    <row r="7" spans="1:10" x14ac:dyDescent="0.25">
      <c r="A7" s="1"/>
      <c r="B7" t="s">
        <v>318</v>
      </c>
      <c r="C7" s="1"/>
    </row>
    <row r="8" spans="1:10" x14ac:dyDescent="0.25">
      <c r="A8" s="1"/>
      <c r="B8" t="s">
        <v>319</v>
      </c>
      <c r="C8" s="1"/>
    </row>
    <row r="9" spans="1:10" x14ac:dyDescent="0.25">
      <c r="A9" s="1"/>
      <c r="B9" t="s">
        <v>320</v>
      </c>
      <c r="C9" s="1"/>
    </row>
    <row r="10" spans="1:10" x14ac:dyDescent="0.25">
      <c r="A10" s="1"/>
      <c r="B10" t="s">
        <v>321</v>
      </c>
      <c r="C10" s="1"/>
    </row>
    <row r="11" spans="1:10" x14ac:dyDescent="0.25">
      <c r="A11" s="1"/>
      <c r="B11" t="s">
        <v>322</v>
      </c>
      <c r="C11" s="1"/>
    </row>
    <row r="12" spans="1:10" x14ac:dyDescent="0.25">
      <c r="A12" s="1"/>
      <c r="B12" t="s">
        <v>323</v>
      </c>
      <c r="C12" s="1"/>
    </row>
    <row r="13" spans="1:10" x14ac:dyDescent="0.25">
      <c r="A13" s="1"/>
      <c r="B13" t="s">
        <v>324</v>
      </c>
      <c r="C13" s="1"/>
    </row>
    <row r="14" spans="1:10" x14ac:dyDescent="0.25">
      <c r="A14" s="1"/>
      <c r="B14" t="s">
        <v>325</v>
      </c>
      <c r="C14" s="1"/>
    </row>
    <row r="15" spans="1:10" x14ac:dyDescent="0.25">
      <c r="A15" s="1"/>
      <c r="B15" t="s">
        <v>326</v>
      </c>
      <c r="C15" s="1"/>
    </row>
    <row r="16" spans="1:10" x14ac:dyDescent="0.25">
      <c r="A16" s="1"/>
      <c r="B16" t="s">
        <v>327</v>
      </c>
      <c r="C16" s="1"/>
    </row>
    <row r="17" spans="1:3" x14ac:dyDescent="0.25">
      <c r="A17" s="1"/>
      <c r="B17" t="s">
        <v>328</v>
      </c>
      <c r="C17" s="1"/>
    </row>
    <row r="18" spans="1:3" x14ac:dyDescent="0.25">
      <c r="A18" s="1"/>
      <c r="B18" t="s">
        <v>329</v>
      </c>
      <c r="C18" s="1"/>
    </row>
    <row r="19" spans="1:3" x14ac:dyDescent="0.25">
      <c r="A19" s="1"/>
      <c r="B19" t="s">
        <v>330</v>
      </c>
      <c r="C19" s="1"/>
    </row>
    <row r="20" spans="1:3" x14ac:dyDescent="0.25">
      <c r="A20" s="1"/>
      <c r="B20" t="s">
        <v>331</v>
      </c>
      <c r="C20" s="1"/>
    </row>
    <row r="21" spans="1:3" x14ac:dyDescent="0.25">
      <c r="A21" s="1"/>
      <c r="B21" t="s">
        <v>332</v>
      </c>
      <c r="C21" s="1"/>
    </row>
    <row r="22" spans="1:3" x14ac:dyDescent="0.25">
      <c r="A22" s="1"/>
      <c r="B22" t="s">
        <v>333</v>
      </c>
      <c r="C22" s="1"/>
    </row>
    <row r="23" spans="1:3" x14ac:dyDescent="0.25">
      <c r="A23" s="1"/>
      <c r="B23" t="s">
        <v>334</v>
      </c>
      <c r="C23" s="1"/>
    </row>
    <row r="24" spans="1:3" x14ac:dyDescent="0.25">
      <c r="A24" s="1"/>
      <c r="B24" t="s">
        <v>335</v>
      </c>
      <c r="C24" s="1"/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eszur">
          <controlPr defaultSize="0" autoLine="0" r:id="rId5">
            <anchor moveWithCells="1">
              <from>
                <xdr:col>3</xdr:col>
                <xdr:colOff>9525</xdr:colOff>
                <xdr:row>0</xdr:row>
                <xdr:rowOff>180975</xdr:rowOff>
              </from>
              <to>
                <xdr:col>5</xdr:col>
                <xdr:colOff>9525</xdr:colOff>
                <xdr:row>2</xdr:row>
                <xdr:rowOff>161925</xdr:rowOff>
              </to>
            </anchor>
          </controlPr>
        </control>
      </mc:Choice>
      <mc:Fallback>
        <control shapeId="1026" r:id="rId4" name="beszu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448A7B-BA55-434F-8EA8-0CD4B433B1CE}">
          <x14:formula1>
            <xm:f>resources!$A$2:$A$29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8DAAE-5CFD-4E22-B9D6-C71303AF64CF}">
  <sheetPr codeName="Sheet10"/>
  <dimension ref="A1:E23"/>
  <sheetViews>
    <sheetView workbookViewId="0">
      <selection activeCell="E1" sqref="E1:E23"/>
    </sheetView>
  </sheetViews>
  <sheetFormatPr defaultRowHeight="15" x14ac:dyDescent="0.25"/>
  <sheetData>
    <row r="1" spans="1:5" x14ac:dyDescent="0.25">
      <c r="A1">
        <v>1</v>
      </c>
      <c r="B1" t="s">
        <v>271</v>
      </c>
      <c r="C1" t="s">
        <v>268</v>
      </c>
      <c r="E1" t="str">
        <f>CONCATENATE(B1," ",C1)</f>
        <v>ANDRUS RÓBERT  </v>
      </c>
    </row>
    <row r="2" spans="1:5" x14ac:dyDescent="0.25">
      <c r="A2">
        <v>2</v>
      </c>
      <c r="B2" t="s">
        <v>272</v>
      </c>
      <c r="C2" t="s">
        <v>273</v>
      </c>
      <c r="E2" t="str">
        <f t="shared" ref="E2:E23" si="0">CONCATENATE(B2," ",C2)</f>
        <v>BALLO ORSOLYA KINGA</v>
      </c>
    </row>
    <row r="3" spans="1:5" x14ac:dyDescent="0.25">
      <c r="A3">
        <v>3</v>
      </c>
      <c r="B3" t="s">
        <v>274</v>
      </c>
      <c r="C3" t="s">
        <v>275</v>
      </c>
      <c r="E3" t="str">
        <f t="shared" si="0"/>
        <v>BORSOS SÁMUEL  </v>
      </c>
    </row>
    <row r="4" spans="1:5" x14ac:dyDescent="0.25">
      <c r="A4">
        <v>4</v>
      </c>
      <c r="B4" t="s">
        <v>276</v>
      </c>
      <c r="C4" t="s">
        <v>277</v>
      </c>
      <c r="E4" t="str">
        <f t="shared" si="0"/>
        <v>BOTH INGRID BIBORKA</v>
      </c>
    </row>
    <row r="5" spans="1:5" x14ac:dyDescent="0.25">
      <c r="A5">
        <v>5</v>
      </c>
      <c r="B5" t="s">
        <v>278</v>
      </c>
      <c r="C5" t="s">
        <v>279</v>
      </c>
      <c r="E5" t="str">
        <f t="shared" si="0"/>
        <v>CSÁKI OLIVIA  </v>
      </c>
    </row>
    <row r="6" spans="1:5" x14ac:dyDescent="0.25">
      <c r="A6">
        <v>6</v>
      </c>
      <c r="B6" t="s">
        <v>280</v>
      </c>
      <c r="C6" t="s">
        <v>281</v>
      </c>
      <c r="E6" t="str">
        <f t="shared" si="0"/>
        <v>DOZSA SÁMUEL SÁNDOR</v>
      </c>
    </row>
    <row r="7" spans="1:5" x14ac:dyDescent="0.25">
      <c r="A7">
        <v>7</v>
      </c>
      <c r="B7" t="s">
        <v>282</v>
      </c>
      <c r="C7" t="s">
        <v>283</v>
      </c>
      <c r="E7" t="str">
        <f t="shared" si="0"/>
        <v>FOGARASI ARTÚR  </v>
      </c>
    </row>
    <row r="8" spans="1:5" x14ac:dyDescent="0.25">
      <c r="A8">
        <v>8</v>
      </c>
      <c r="B8" t="s">
        <v>284</v>
      </c>
      <c r="C8" t="s">
        <v>285</v>
      </c>
      <c r="E8" t="str">
        <f t="shared" si="0"/>
        <v>GERGELY VIKTOR  </v>
      </c>
    </row>
    <row r="9" spans="1:5" x14ac:dyDescent="0.25">
      <c r="A9">
        <v>9</v>
      </c>
      <c r="B9" t="s">
        <v>286</v>
      </c>
      <c r="C9" t="s">
        <v>287</v>
      </c>
      <c r="E9" t="str">
        <f t="shared" si="0"/>
        <v>HALMÁGYI HUNOR  </v>
      </c>
    </row>
    <row r="10" spans="1:5" x14ac:dyDescent="0.25">
      <c r="A10">
        <v>10</v>
      </c>
      <c r="B10" t="s">
        <v>288</v>
      </c>
      <c r="C10" t="s">
        <v>269</v>
      </c>
      <c r="E10" t="str">
        <f t="shared" si="0"/>
        <v>HARAUSZ MÁRK  </v>
      </c>
    </row>
    <row r="11" spans="1:5" x14ac:dyDescent="0.25">
      <c r="A11">
        <v>11</v>
      </c>
      <c r="B11" t="s">
        <v>289</v>
      </c>
      <c r="C11" t="s">
        <v>290</v>
      </c>
      <c r="E11" t="str">
        <f t="shared" si="0"/>
        <v>IACOB OLIVIA BEATRICE</v>
      </c>
    </row>
    <row r="12" spans="1:5" x14ac:dyDescent="0.25">
      <c r="A12">
        <v>12</v>
      </c>
      <c r="B12" t="s">
        <v>291</v>
      </c>
      <c r="C12" t="s">
        <v>292</v>
      </c>
      <c r="E12" t="str">
        <f t="shared" si="0"/>
        <v>JANKÓ BOTOND-SZILVESZTER  </v>
      </c>
    </row>
    <row r="13" spans="1:5" x14ac:dyDescent="0.25">
      <c r="A13">
        <v>13</v>
      </c>
      <c r="B13" t="s">
        <v>293</v>
      </c>
      <c r="C13" t="s">
        <v>294</v>
      </c>
      <c r="E13" t="str">
        <f t="shared" si="0"/>
        <v>KÖNTÉS LÉDA  </v>
      </c>
    </row>
    <row r="14" spans="1:5" x14ac:dyDescent="0.25">
      <c r="A14">
        <v>14</v>
      </c>
      <c r="B14" t="s">
        <v>295</v>
      </c>
      <c r="C14" t="s">
        <v>270</v>
      </c>
      <c r="E14" t="str">
        <f t="shared" si="0"/>
        <v>PALFFI SAROLTA  </v>
      </c>
    </row>
    <row r="15" spans="1:5" x14ac:dyDescent="0.25">
      <c r="A15">
        <v>15</v>
      </c>
      <c r="B15" t="s">
        <v>296</v>
      </c>
      <c r="C15" t="s">
        <v>297</v>
      </c>
      <c r="E15" t="str">
        <f t="shared" si="0"/>
        <v>PAP CSENGE</v>
      </c>
    </row>
    <row r="16" spans="1:5" x14ac:dyDescent="0.25">
      <c r="A16">
        <v>16</v>
      </c>
      <c r="B16" t="s">
        <v>298</v>
      </c>
      <c r="C16" t="s">
        <v>299</v>
      </c>
      <c r="E16" t="str">
        <f t="shared" si="0"/>
        <v>PETRUȘCA VLADIMIR MIHAI</v>
      </c>
    </row>
    <row r="17" spans="1:5" x14ac:dyDescent="0.25">
      <c r="A17">
        <v>17</v>
      </c>
      <c r="B17" t="s">
        <v>300</v>
      </c>
      <c r="C17" t="s">
        <v>301</v>
      </c>
      <c r="E17" t="str">
        <f t="shared" si="0"/>
        <v>RAZMAN-VIRÁGH BALÁZS  </v>
      </c>
    </row>
    <row r="18" spans="1:5" x14ac:dyDescent="0.25">
      <c r="A18">
        <v>18</v>
      </c>
      <c r="B18" t="s">
        <v>302</v>
      </c>
      <c r="C18" t="s">
        <v>303</v>
      </c>
      <c r="E18" t="str">
        <f t="shared" si="0"/>
        <v>SEBESTEN ANNA  </v>
      </c>
    </row>
    <row r="19" spans="1:5" x14ac:dyDescent="0.25">
      <c r="A19">
        <v>19</v>
      </c>
      <c r="B19" t="s">
        <v>304</v>
      </c>
      <c r="C19" t="s">
        <v>275</v>
      </c>
      <c r="E19" t="str">
        <f t="shared" si="0"/>
        <v>SERESTÉLY SÁMUEL  </v>
      </c>
    </row>
    <row r="20" spans="1:5" x14ac:dyDescent="0.25">
      <c r="A20">
        <v>20</v>
      </c>
      <c r="B20" t="s">
        <v>305</v>
      </c>
      <c r="C20" t="s">
        <v>306</v>
      </c>
      <c r="E20" t="str">
        <f t="shared" si="0"/>
        <v>SZATMÁRY BOTOND-KRISZTIÁN  </v>
      </c>
    </row>
    <row r="21" spans="1:5" x14ac:dyDescent="0.25">
      <c r="A21">
        <v>21</v>
      </c>
      <c r="B21" t="s">
        <v>307</v>
      </c>
      <c r="C21" t="s">
        <v>308</v>
      </c>
      <c r="E21" t="str">
        <f t="shared" si="0"/>
        <v>VALKAI  ZSÓFIA</v>
      </c>
    </row>
    <row r="22" spans="1:5" x14ac:dyDescent="0.25">
      <c r="A22">
        <v>22</v>
      </c>
      <c r="B22" t="s">
        <v>309</v>
      </c>
      <c r="C22" t="s">
        <v>310</v>
      </c>
      <c r="E22" t="str">
        <f t="shared" si="0"/>
        <v>VINCZE MÁRTA  </v>
      </c>
    </row>
    <row r="23" spans="1:5" x14ac:dyDescent="0.25">
      <c r="A23">
        <v>23</v>
      </c>
      <c r="B23" t="s">
        <v>311</v>
      </c>
      <c r="C23" t="s">
        <v>312</v>
      </c>
      <c r="E23" t="str">
        <f t="shared" si="0"/>
        <v>ZSIGMOND ADRIENN  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A7CBA-18B2-4B5E-9F70-A2D33EEE2337}">
  <sheetPr codeName="Sheet4"/>
  <dimension ref="A1:B1"/>
  <sheetViews>
    <sheetView workbookViewId="0">
      <selection activeCell="C56" sqref="C56"/>
    </sheetView>
  </sheetViews>
  <sheetFormatPr defaultRowHeight="15" x14ac:dyDescent="0.25"/>
  <cols>
    <col min="1" max="1" width="23.42578125" bestFit="1" customWidth="1"/>
    <col min="2" max="2" width="14.85546875" bestFit="1" customWidth="1"/>
  </cols>
  <sheetData>
    <row r="1" spans="1:2" x14ac:dyDescent="0.25">
      <c r="A1" s="12" t="s">
        <v>28</v>
      </c>
      <c r="B1" s="12" t="s">
        <v>102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tanarokUritese">
          <controlPr defaultSize="0" autoLine="0" r:id="rId4">
            <anchor moveWithCells="1">
              <from>
                <xdr:col>6</xdr:col>
                <xdr:colOff>600075</xdr:colOff>
                <xdr:row>0</xdr:row>
                <xdr:rowOff>0</xdr:rowOff>
              </from>
              <to>
                <xdr:col>9</xdr:col>
                <xdr:colOff>381000</xdr:colOff>
                <xdr:row>2</xdr:row>
                <xdr:rowOff>66675</xdr:rowOff>
              </to>
            </anchor>
          </controlPr>
        </control>
      </mc:Choice>
      <mc:Fallback>
        <control shapeId="2051" r:id="rId3" name="tanarokUritese"/>
      </mc:Fallback>
    </mc:AlternateContent>
    <mc:AlternateContent xmlns:mc="http://schemas.openxmlformats.org/markup-compatibility/2006">
      <mc:Choice Requires="x14">
        <control shapeId="2049" r:id="rId5" name="tanarokMentes">
          <controlPr defaultSize="0" autoLine="0" autoPict="0" r:id="rId6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5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2049" r:id="rId5" name="tanarokMent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795B-4070-4C81-852B-B2720BB3D0C6}">
  <sheetPr codeName="Sheet11"/>
  <dimension ref="A1:C60"/>
  <sheetViews>
    <sheetView workbookViewId="0">
      <selection activeCell="E18" sqref="E18"/>
    </sheetView>
  </sheetViews>
  <sheetFormatPr defaultRowHeight="15" x14ac:dyDescent="0.25"/>
  <cols>
    <col min="1" max="1" width="23.42578125" bestFit="1" customWidth="1"/>
    <col min="2" max="2" width="14.85546875" bestFit="1" customWidth="1"/>
  </cols>
  <sheetData>
    <row r="1" spans="1:2" x14ac:dyDescent="0.25">
      <c r="A1" t="s">
        <v>27</v>
      </c>
      <c r="B1" t="s">
        <v>31</v>
      </c>
    </row>
    <row r="2" spans="1:2" x14ac:dyDescent="0.25">
      <c r="A2" t="s">
        <v>29</v>
      </c>
      <c r="B2" t="s">
        <v>32</v>
      </c>
    </row>
    <row r="3" spans="1:2" x14ac:dyDescent="0.25">
      <c r="A3" t="s">
        <v>30</v>
      </c>
      <c r="B3" t="s">
        <v>33</v>
      </c>
    </row>
    <row r="4" spans="1:2" x14ac:dyDescent="0.25">
      <c r="A4" t="s">
        <v>34</v>
      </c>
      <c r="B4" t="s">
        <v>38</v>
      </c>
    </row>
    <row r="5" spans="1:2" x14ac:dyDescent="0.25">
      <c r="A5" t="s">
        <v>35</v>
      </c>
    </row>
    <row r="6" spans="1:2" x14ac:dyDescent="0.25">
      <c r="A6" t="s">
        <v>36</v>
      </c>
      <c r="B6" t="s">
        <v>39</v>
      </c>
    </row>
    <row r="7" spans="1:2" x14ac:dyDescent="0.25">
      <c r="A7" t="s">
        <v>37</v>
      </c>
      <c r="B7" t="s">
        <v>40</v>
      </c>
    </row>
    <row r="8" spans="1:2" x14ac:dyDescent="0.25">
      <c r="A8" t="s">
        <v>41</v>
      </c>
      <c r="B8" t="s">
        <v>32</v>
      </c>
    </row>
    <row r="9" spans="1:2" x14ac:dyDescent="0.25">
      <c r="A9" t="s">
        <v>42</v>
      </c>
    </row>
    <row r="10" spans="1:2" x14ac:dyDescent="0.25">
      <c r="A10" t="s">
        <v>43</v>
      </c>
      <c r="B10" t="s">
        <v>38</v>
      </c>
    </row>
    <row r="11" spans="1:2" x14ac:dyDescent="0.25">
      <c r="A11" t="s">
        <v>44</v>
      </c>
      <c r="B11" t="s">
        <v>40</v>
      </c>
    </row>
    <row r="12" spans="1:2" x14ac:dyDescent="0.25">
      <c r="A12" t="s">
        <v>45</v>
      </c>
      <c r="B12" t="s">
        <v>46</v>
      </c>
    </row>
    <row r="13" spans="1:2" x14ac:dyDescent="0.25">
      <c r="A13" t="s">
        <v>47</v>
      </c>
      <c r="B13" t="s">
        <v>39</v>
      </c>
    </row>
    <row r="14" spans="1:2" x14ac:dyDescent="0.25">
      <c r="A14" t="s">
        <v>48</v>
      </c>
      <c r="B14" t="s">
        <v>39</v>
      </c>
    </row>
    <row r="15" spans="1:2" x14ac:dyDescent="0.25">
      <c r="A15" t="s">
        <v>49</v>
      </c>
      <c r="B15" t="s">
        <v>46</v>
      </c>
    </row>
    <row r="16" spans="1:2" x14ac:dyDescent="0.25">
      <c r="A16" t="s">
        <v>50</v>
      </c>
      <c r="B16" t="s">
        <v>40</v>
      </c>
    </row>
    <row r="17" spans="1:2" x14ac:dyDescent="0.25">
      <c r="A17" t="s">
        <v>51</v>
      </c>
    </row>
    <row r="18" spans="1:2" x14ac:dyDescent="0.25">
      <c r="A18" t="s">
        <v>52</v>
      </c>
      <c r="B18" t="s">
        <v>53</v>
      </c>
    </row>
    <row r="19" spans="1:2" x14ac:dyDescent="0.25">
      <c r="A19" t="s">
        <v>54</v>
      </c>
      <c r="B19" t="s">
        <v>55</v>
      </c>
    </row>
    <row r="20" spans="1:2" x14ac:dyDescent="0.25">
      <c r="A20" t="s">
        <v>56</v>
      </c>
      <c r="B20" t="s">
        <v>57</v>
      </c>
    </row>
    <row r="21" spans="1:2" x14ac:dyDescent="0.25">
      <c r="A21" t="s">
        <v>58</v>
      </c>
    </row>
    <row r="22" spans="1:2" x14ac:dyDescent="0.25">
      <c r="A22" t="s">
        <v>59</v>
      </c>
      <c r="B22" t="s">
        <v>60</v>
      </c>
    </row>
    <row r="23" spans="1:2" x14ac:dyDescent="0.25">
      <c r="A23" t="s">
        <v>61</v>
      </c>
      <c r="B23" t="s">
        <v>62</v>
      </c>
    </row>
    <row r="24" spans="1:2" x14ac:dyDescent="0.25">
      <c r="A24" t="s">
        <v>63</v>
      </c>
      <c r="B24" t="s">
        <v>55</v>
      </c>
    </row>
    <row r="25" spans="1:2" x14ac:dyDescent="0.25">
      <c r="A25" t="s">
        <v>64</v>
      </c>
      <c r="B25" t="s">
        <v>39</v>
      </c>
    </row>
    <row r="26" spans="1:2" x14ac:dyDescent="0.25">
      <c r="A26" t="s">
        <v>65</v>
      </c>
      <c r="B26" t="s">
        <v>66</v>
      </c>
    </row>
    <row r="27" spans="1:2" x14ac:dyDescent="0.25">
      <c r="A27" t="s">
        <v>67</v>
      </c>
    </row>
    <row r="28" spans="1:2" x14ac:dyDescent="0.25">
      <c r="A28" t="s">
        <v>68</v>
      </c>
      <c r="B28" t="s">
        <v>69</v>
      </c>
    </row>
    <row r="29" spans="1:2" x14ac:dyDescent="0.25">
      <c r="A29" t="s">
        <v>70</v>
      </c>
      <c r="B29" t="s">
        <v>60</v>
      </c>
    </row>
    <row r="30" spans="1:2" x14ac:dyDescent="0.25">
      <c r="A30" t="s">
        <v>71</v>
      </c>
      <c r="B30" t="s">
        <v>38</v>
      </c>
    </row>
    <row r="31" spans="1:2" x14ac:dyDescent="0.25">
      <c r="A31" t="s">
        <v>72</v>
      </c>
      <c r="B31" t="s">
        <v>46</v>
      </c>
    </row>
    <row r="32" spans="1:2" x14ac:dyDescent="0.25">
      <c r="A32" t="s">
        <v>73</v>
      </c>
      <c r="B32" t="s">
        <v>38</v>
      </c>
    </row>
    <row r="33" spans="1:2" x14ac:dyDescent="0.25">
      <c r="A33" t="s">
        <v>74</v>
      </c>
      <c r="B33" t="s">
        <v>75</v>
      </c>
    </row>
    <row r="34" spans="1:2" x14ac:dyDescent="0.25">
      <c r="A34" t="s">
        <v>76</v>
      </c>
      <c r="B34" t="s">
        <v>55</v>
      </c>
    </row>
    <row r="35" spans="1:2" x14ac:dyDescent="0.25">
      <c r="A35" t="s">
        <v>77</v>
      </c>
      <c r="B35" t="s">
        <v>53</v>
      </c>
    </row>
    <row r="36" spans="1:2" x14ac:dyDescent="0.25">
      <c r="A36" t="s">
        <v>78</v>
      </c>
    </row>
    <row r="37" spans="1:2" x14ac:dyDescent="0.25">
      <c r="A37" t="s">
        <v>80</v>
      </c>
      <c r="B37" t="s">
        <v>81</v>
      </c>
    </row>
    <row r="38" spans="1:2" x14ac:dyDescent="0.25">
      <c r="A38" t="s">
        <v>82</v>
      </c>
      <c r="B38" t="s">
        <v>57</v>
      </c>
    </row>
    <row r="39" spans="1:2" x14ac:dyDescent="0.25">
      <c r="A39" t="s">
        <v>83</v>
      </c>
    </row>
    <row r="40" spans="1:2" x14ac:dyDescent="0.25">
      <c r="A40" t="s">
        <v>84</v>
      </c>
      <c r="B40" t="s">
        <v>40</v>
      </c>
    </row>
    <row r="41" spans="1:2" x14ac:dyDescent="0.25">
      <c r="A41" t="s">
        <v>85</v>
      </c>
      <c r="B41" t="s">
        <v>33</v>
      </c>
    </row>
    <row r="42" spans="1:2" x14ac:dyDescent="0.25">
      <c r="A42" t="s">
        <v>86</v>
      </c>
      <c r="B42" t="s">
        <v>38</v>
      </c>
    </row>
    <row r="43" spans="1:2" x14ac:dyDescent="0.25">
      <c r="A43" t="s">
        <v>87</v>
      </c>
      <c r="B43" t="s">
        <v>33</v>
      </c>
    </row>
    <row r="44" spans="1:2" x14ac:dyDescent="0.25">
      <c r="A44" t="s">
        <v>88</v>
      </c>
      <c r="B44" t="s">
        <v>89</v>
      </c>
    </row>
    <row r="45" spans="1:2" x14ac:dyDescent="0.25">
      <c r="A45" t="s">
        <v>90</v>
      </c>
      <c r="B45" t="s">
        <v>32</v>
      </c>
    </row>
    <row r="46" spans="1:2" x14ac:dyDescent="0.25">
      <c r="A46" t="s">
        <v>91</v>
      </c>
      <c r="B46" t="s">
        <v>98</v>
      </c>
    </row>
    <row r="47" spans="1:2" x14ac:dyDescent="0.25">
      <c r="A47" t="s">
        <v>92</v>
      </c>
      <c r="B47" t="s">
        <v>55</v>
      </c>
    </row>
    <row r="48" spans="1:2" x14ac:dyDescent="0.25">
      <c r="A48" t="s">
        <v>93</v>
      </c>
    </row>
    <row r="49" spans="1:3" x14ac:dyDescent="0.25">
      <c r="A49" t="s">
        <v>94</v>
      </c>
    </row>
    <row r="50" spans="1:3" x14ac:dyDescent="0.25">
      <c r="A50" t="s">
        <v>95</v>
      </c>
    </row>
    <row r="51" spans="1:3" x14ac:dyDescent="0.25">
      <c r="A51" t="s">
        <v>96</v>
      </c>
    </row>
    <row r="52" spans="1:3" x14ac:dyDescent="0.25">
      <c r="A52" t="s">
        <v>97</v>
      </c>
      <c r="B52" t="s">
        <v>38</v>
      </c>
    </row>
    <row r="53" spans="1:3" x14ac:dyDescent="0.25">
      <c r="A53" t="s">
        <v>27</v>
      </c>
      <c r="B53" t="s">
        <v>55</v>
      </c>
    </row>
    <row r="54" spans="1:3" x14ac:dyDescent="0.25">
      <c r="A54" t="s">
        <v>49</v>
      </c>
      <c r="B54" t="s">
        <v>33</v>
      </c>
    </row>
    <row r="55" spans="1:3" x14ac:dyDescent="0.25">
      <c r="A55" t="s">
        <v>36</v>
      </c>
      <c r="B55" t="s">
        <v>38</v>
      </c>
      <c r="C55" t="s">
        <v>263</v>
      </c>
    </row>
    <row r="56" spans="1:3" x14ac:dyDescent="0.25">
      <c r="A56" t="s">
        <v>34</v>
      </c>
      <c r="B56" t="s">
        <v>33</v>
      </c>
    </row>
    <row r="57" spans="1:3" x14ac:dyDescent="0.25">
      <c r="A57" t="s">
        <v>47</v>
      </c>
      <c r="B57" t="s">
        <v>38</v>
      </c>
    </row>
    <row r="58" spans="1:3" x14ac:dyDescent="0.25">
      <c r="A58" t="s">
        <v>48</v>
      </c>
      <c r="B58" t="s">
        <v>33</v>
      </c>
    </row>
    <row r="59" spans="1:3" x14ac:dyDescent="0.25">
      <c r="A59" t="s">
        <v>64</v>
      </c>
      <c r="B59" t="s">
        <v>38</v>
      </c>
    </row>
    <row r="60" spans="1:3" x14ac:dyDescent="0.25">
      <c r="A60" t="s">
        <v>74</v>
      </c>
      <c r="B60" t="s">
        <v>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A1D7-2AD8-48CA-8965-828E7C6D114D}">
  <sheetPr codeName="Sheet9"/>
  <dimension ref="A1:I2"/>
  <sheetViews>
    <sheetView workbookViewId="0">
      <selection activeCell="C19" sqref="C19"/>
    </sheetView>
  </sheetViews>
  <sheetFormatPr defaultRowHeight="15" x14ac:dyDescent="0.25"/>
  <cols>
    <col min="1" max="1" width="18.28515625" customWidth="1"/>
    <col min="5" max="5" width="18.28515625" customWidth="1"/>
    <col min="9" max="9" width="18.28515625" customWidth="1"/>
  </cols>
  <sheetData>
    <row r="1" spans="1:9" ht="45" x14ac:dyDescent="0.25">
      <c r="A1" s="13" t="s">
        <v>259</v>
      </c>
      <c r="E1" s="13" t="s">
        <v>261</v>
      </c>
      <c r="I1" s="13" t="s">
        <v>262</v>
      </c>
    </row>
    <row r="2" spans="1:9" x14ac:dyDescent="0.25">
      <c r="A2" s="14" t="s">
        <v>260</v>
      </c>
      <c r="E2" s="15" t="s">
        <v>260</v>
      </c>
      <c r="I2" s="15" t="s">
        <v>260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tanarJelszoMentes">
          <controlPr defaultSize="0" autoLine="0" r:id="rId5">
            <anchor moveWithCells="1">
              <from>
                <xdr:col>1</xdr:col>
                <xdr:colOff>19050</xdr:colOff>
                <xdr:row>0</xdr:row>
                <xdr:rowOff>9525</xdr:rowOff>
              </from>
              <to>
                <xdr:col>3</xdr:col>
                <xdr:colOff>19050</xdr:colOff>
                <xdr:row>0</xdr:row>
                <xdr:rowOff>371475</xdr:rowOff>
              </to>
            </anchor>
          </controlPr>
        </control>
      </mc:Choice>
      <mc:Fallback>
        <control shapeId="10241" r:id="rId4" name="tanarJelszoMentes"/>
      </mc:Fallback>
    </mc:AlternateContent>
    <mc:AlternateContent xmlns:mc="http://schemas.openxmlformats.org/markup-compatibility/2006">
      <mc:Choice Requires="x14">
        <control shapeId="10243" r:id="rId6" name="adminJelszoMentes">
          <controlPr defaultSize="0" autoLine="0" r:id="rId7">
            <anchor moveWithCells="1">
              <from>
                <xdr:col>5</xdr:col>
                <xdr:colOff>9525</xdr:colOff>
                <xdr:row>0</xdr:row>
                <xdr:rowOff>19050</xdr:rowOff>
              </from>
              <to>
                <xdr:col>7</xdr:col>
                <xdr:colOff>9525</xdr:colOff>
                <xdr:row>0</xdr:row>
                <xdr:rowOff>381000</xdr:rowOff>
              </to>
            </anchor>
          </controlPr>
        </control>
      </mc:Choice>
      <mc:Fallback>
        <control shapeId="10243" r:id="rId6" name="adminJelszoMentes"/>
      </mc:Fallback>
    </mc:AlternateContent>
    <mc:AlternateContent xmlns:mc="http://schemas.openxmlformats.org/markup-compatibility/2006">
      <mc:Choice Requires="x14">
        <control shapeId="10244" r:id="rId8" name="diakokJelszavanakMentese">
          <controlPr defaultSize="0" autoLine="0" r:id="rId9">
            <anchor moveWithCells="1">
              <from>
                <xdr:col>9</xdr:col>
                <xdr:colOff>9525</xdr:colOff>
                <xdr:row>0</xdr:row>
                <xdr:rowOff>0</xdr:rowOff>
              </from>
              <to>
                <xdr:col>11</xdr:col>
                <xdr:colOff>9525</xdr:colOff>
                <xdr:row>0</xdr:row>
                <xdr:rowOff>361950</xdr:rowOff>
              </to>
            </anchor>
          </controlPr>
        </control>
      </mc:Choice>
      <mc:Fallback>
        <control shapeId="10244" r:id="rId8" name="diakokJelszavanakMentes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9F0BC-B283-4C8E-ABCD-829ACDA65B34}">
  <sheetPr codeName="Sheet12"/>
  <dimension ref="A1:C29"/>
  <sheetViews>
    <sheetView workbookViewId="0">
      <selection activeCell="E14" sqref="E14"/>
    </sheetView>
  </sheetViews>
  <sheetFormatPr defaultRowHeight="15" x14ac:dyDescent="0.25"/>
  <cols>
    <col min="1" max="1" width="9.5703125" bestFit="1" customWidth="1"/>
    <col min="2" max="2" width="9.5703125" customWidth="1"/>
    <col min="3" max="3" width="10.7109375" bestFit="1" customWidth="1"/>
  </cols>
  <sheetData>
    <row r="1" spans="1:3" x14ac:dyDescent="0.25">
      <c r="A1" s="3" t="s">
        <v>336</v>
      </c>
      <c r="B1" s="3" t="s">
        <v>341</v>
      </c>
      <c r="C1" s="3" t="s">
        <v>337</v>
      </c>
    </row>
    <row r="2" spans="1:3" x14ac:dyDescent="0.25">
      <c r="A2">
        <v>0</v>
      </c>
      <c r="B2" t="s">
        <v>342</v>
      </c>
      <c r="C2" t="s">
        <v>338</v>
      </c>
    </row>
    <row r="3" spans="1:3" x14ac:dyDescent="0.25">
      <c r="A3">
        <v>0</v>
      </c>
      <c r="B3" t="s">
        <v>343</v>
      </c>
      <c r="C3" t="s">
        <v>338</v>
      </c>
    </row>
    <row r="4" spans="1:3" x14ac:dyDescent="0.25">
      <c r="A4">
        <v>1</v>
      </c>
      <c r="B4" t="s">
        <v>342</v>
      </c>
      <c r="C4" t="s">
        <v>338</v>
      </c>
    </row>
    <row r="5" spans="1:3" x14ac:dyDescent="0.25">
      <c r="A5">
        <v>1</v>
      </c>
      <c r="B5" t="s">
        <v>343</v>
      </c>
      <c r="C5" t="s">
        <v>338</v>
      </c>
    </row>
    <row r="6" spans="1:3" x14ac:dyDescent="0.25">
      <c r="A6">
        <v>2</v>
      </c>
      <c r="B6" t="s">
        <v>342</v>
      </c>
      <c r="C6" t="s">
        <v>338</v>
      </c>
    </row>
    <row r="7" spans="1:3" x14ac:dyDescent="0.25">
      <c r="A7">
        <v>2</v>
      </c>
      <c r="B7" t="s">
        <v>343</v>
      </c>
      <c r="C7" t="s">
        <v>338</v>
      </c>
    </row>
    <row r="8" spans="1:3" x14ac:dyDescent="0.25">
      <c r="A8">
        <v>3</v>
      </c>
      <c r="B8" t="s">
        <v>342</v>
      </c>
      <c r="C8" t="s">
        <v>338</v>
      </c>
    </row>
    <row r="9" spans="1:3" x14ac:dyDescent="0.25">
      <c r="A9">
        <v>3</v>
      </c>
      <c r="B9" t="s">
        <v>343</v>
      </c>
      <c r="C9" t="s">
        <v>338</v>
      </c>
    </row>
    <row r="10" spans="1:3" x14ac:dyDescent="0.25">
      <c r="A10">
        <v>4</v>
      </c>
      <c r="B10" t="s">
        <v>342</v>
      </c>
      <c r="C10" t="s">
        <v>338</v>
      </c>
    </row>
    <row r="11" spans="1:3" x14ac:dyDescent="0.25">
      <c r="A11">
        <v>4</v>
      </c>
      <c r="B11" t="s">
        <v>343</v>
      </c>
      <c r="C11" t="s">
        <v>338</v>
      </c>
    </row>
    <row r="12" spans="1:3" x14ac:dyDescent="0.25">
      <c r="A12">
        <v>4</v>
      </c>
      <c r="B12" t="s">
        <v>344</v>
      </c>
      <c r="C12" t="s">
        <v>338</v>
      </c>
    </row>
    <row r="13" spans="1:3" x14ac:dyDescent="0.25">
      <c r="A13">
        <v>5</v>
      </c>
      <c r="B13" t="s">
        <v>342</v>
      </c>
      <c r="C13" t="s">
        <v>339</v>
      </c>
    </row>
    <row r="14" spans="1:3" x14ac:dyDescent="0.25">
      <c r="A14">
        <v>5</v>
      </c>
      <c r="B14" t="s">
        <v>343</v>
      </c>
      <c r="C14" t="s">
        <v>339</v>
      </c>
    </row>
    <row r="15" spans="1:3" x14ac:dyDescent="0.25">
      <c r="A15">
        <v>6</v>
      </c>
      <c r="B15" t="s">
        <v>342</v>
      </c>
      <c r="C15" t="s">
        <v>339</v>
      </c>
    </row>
    <row r="16" spans="1:3" x14ac:dyDescent="0.25">
      <c r="A16">
        <v>6</v>
      </c>
      <c r="B16" t="s">
        <v>343</v>
      </c>
      <c r="C16" t="s">
        <v>339</v>
      </c>
    </row>
    <row r="17" spans="1:3" x14ac:dyDescent="0.25">
      <c r="A17">
        <v>6</v>
      </c>
      <c r="B17" t="s">
        <v>344</v>
      </c>
      <c r="C17" t="s">
        <v>339</v>
      </c>
    </row>
    <row r="18" spans="1:3" x14ac:dyDescent="0.25">
      <c r="A18">
        <v>7</v>
      </c>
      <c r="B18" t="s">
        <v>342</v>
      </c>
      <c r="C18" t="s">
        <v>339</v>
      </c>
    </row>
    <row r="19" spans="1:3" x14ac:dyDescent="0.25">
      <c r="A19">
        <v>7</v>
      </c>
      <c r="B19" t="s">
        <v>343</v>
      </c>
      <c r="C19" t="s">
        <v>339</v>
      </c>
    </row>
    <row r="20" spans="1:3" x14ac:dyDescent="0.25">
      <c r="A20">
        <v>8</v>
      </c>
      <c r="B20" t="s">
        <v>342</v>
      </c>
      <c r="C20" t="s">
        <v>339</v>
      </c>
    </row>
    <row r="21" spans="1:3" x14ac:dyDescent="0.25">
      <c r="A21">
        <v>8</v>
      </c>
      <c r="B21" t="s">
        <v>343</v>
      </c>
      <c r="C21" t="s">
        <v>339</v>
      </c>
    </row>
    <row r="22" spans="1:3" x14ac:dyDescent="0.25">
      <c r="A22">
        <v>9</v>
      </c>
      <c r="B22" t="s">
        <v>345</v>
      </c>
      <c r="C22" t="s">
        <v>340</v>
      </c>
    </row>
    <row r="23" spans="1:3" x14ac:dyDescent="0.25">
      <c r="A23">
        <v>9</v>
      </c>
      <c r="B23" t="s">
        <v>346</v>
      </c>
      <c r="C23" t="s">
        <v>340</v>
      </c>
    </row>
    <row r="24" spans="1:3" x14ac:dyDescent="0.25">
      <c r="A24">
        <v>10</v>
      </c>
      <c r="B24" t="s">
        <v>345</v>
      </c>
      <c r="C24" t="s">
        <v>340</v>
      </c>
    </row>
    <row r="25" spans="1:3" x14ac:dyDescent="0.25">
      <c r="A25">
        <v>10</v>
      </c>
      <c r="B25" t="s">
        <v>346</v>
      </c>
      <c r="C25" t="s">
        <v>340</v>
      </c>
    </row>
    <row r="26" spans="1:3" x14ac:dyDescent="0.25">
      <c r="A26">
        <v>11</v>
      </c>
      <c r="B26" t="s">
        <v>345</v>
      </c>
      <c r="C26" t="s">
        <v>340</v>
      </c>
    </row>
    <row r="27" spans="1:3" x14ac:dyDescent="0.25">
      <c r="A27">
        <v>11</v>
      </c>
      <c r="B27" t="s">
        <v>346</v>
      </c>
      <c r="C27" t="s">
        <v>340</v>
      </c>
    </row>
    <row r="28" spans="1:3" x14ac:dyDescent="0.25">
      <c r="A28">
        <v>12</v>
      </c>
      <c r="B28" t="s">
        <v>345</v>
      </c>
      <c r="C28" t="s">
        <v>340</v>
      </c>
    </row>
    <row r="29" spans="1:3" x14ac:dyDescent="0.25">
      <c r="A29">
        <v>12</v>
      </c>
      <c r="B29" t="s">
        <v>346</v>
      </c>
      <c r="C29" t="s">
        <v>340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letrehozOsztalyok">
          <controlPr defaultSize="0" autoLine="0" r:id="rId4">
            <anchor moveWithCells="1">
              <from>
                <xdr:col>3</xdr:col>
                <xdr:colOff>57150</xdr:colOff>
                <xdr:row>0</xdr:row>
                <xdr:rowOff>0</xdr:rowOff>
              </from>
              <to>
                <xdr:col>6</xdr:col>
                <xdr:colOff>333375</xdr:colOff>
                <xdr:row>2</xdr:row>
                <xdr:rowOff>66675</xdr:rowOff>
              </to>
            </anchor>
          </controlPr>
        </control>
      </mc:Choice>
      <mc:Fallback>
        <control shapeId="13313" r:id="rId3" name="letrehozOsztalyok"/>
      </mc:Fallback>
    </mc:AlternateContent>
    <mc:AlternateContent xmlns:mc="http://schemas.openxmlformats.org/markup-compatibility/2006">
      <mc:Choice Requires="x14">
        <control shapeId="13314" r:id="rId5" name="letrehozEredmenyek">
          <controlPr defaultSize="0" autoLine="0" r:id="rId6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12</xdr:col>
                <xdr:colOff>28575</xdr:colOff>
                <xdr:row>2</xdr:row>
                <xdr:rowOff>85725</xdr:rowOff>
              </to>
            </anchor>
          </controlPr>
        </control>
      </mc:Choice>
      <mc:Fallback>
        <control shapeId="13314" r:id="rId5" name="letrehozEredmenye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D1537-3488-4328-B262-836E8FB7E58E}">
  <sheetPr codeName="Sheet2"/>
  <dimension ref="A1:C115"/>
  <sheetViews>
    <sheetView topLeftCell="B1" workbookViewId="0">
      <selection activeCell="F12" sqref="F12"/>
    </sheetView>
  </sheetViews>
  <sheetFormatPr defaultRowHeight="15" x14ac:dyDescent="0.25"/>
  <cols>
    <col min="1" max="1" width="95" customWidth="1"/>
    <col min="2" max="2" width="48.85546875" customWidth="1"/>
    <col min="3" max="3" width="25.28515625" customWidth="1"/>
  </cols>
  <sheetData>
    <row r="1" spans="1:3" ht="15.75" x14ac:dyDescent="0.25">
      <c r="A1" s="7" t="s">
        <v>101</v>
      </c>
      <c r="B1" s="7" t="s">
        <v>220</v>
      </c>
      <c r="C1" s="7" t="s">
        <v>219</v>
      </c>
    </row>
    <row r="2" spans="1:3" x14ac:dyDescent="0.25">
      <c r="A2" t="s">
        <v>103</v>
      </c>
      <c r="B2" t="s">
        <v>39</v>
      </c>
      <c r="C2" t="s">
        <v>223</v>
      </c>
    </row>
    <row r="3" spans="1:3" x14ac:dyDescent="0.25">
      <c r="A3" t="s">
        <v>104</v>
      </c>
      <c r="B3" t="s">
        <v>100</v>
      </c>
      <c r="C3" t="s">
        <v>223</v>
      </c>
    </row>
    <row r="4" spans="1:3" x14ac:dyDescent="0.25">
      <c r="A4" t="s">
        <v>105</v>
      </c>
      <c r="B4" t="s">
        <v>55</v>
      </c>
      <c r="C4" t="s">
        <v>223</v>
      </c>
    </row>
    <row r="5" spans="1:3" x14ac:dyDescent="0.25">
      <c r="A5" t="s">
        <v>106</v>
      </c>
      <c r="B5" t="s">
        <v>57</v>
      </c>
      <c r="C5" t="s">
        <v>223</v>
      </c>
    </row>
    <row r="6" spans="1:3" x14ac:dyDescent="0.25">
      <c r="A6" t="s">
        <v>107</v>
      </c>
      <c r="B6" t="s">
        <v>57</v>
      </c>
      <c r="C6" t="s">
        <v>223</v>
      </c>
    </row>
    <row r="7" spans="1:3" x14ac:dyDescent="0.25">
      <c r="A7" t="s">
        <v>108</v>
      </c>
      <c r="B7" t="s">
        <v>81</v>
      </c>
      <c r="C7" t="s">
        <v>223</v>
      </c>
    </row>
    <row r="8" spans="1:3" x14ac:dyDescent="0.25">
      <c r="A8" t="s">
        <v>109</v>
      </c>
      <c r="B8" t="s">
        <v>89</v>
      </c>
      <c r="C8" t="s">
        <v>223</v>
      </c>
    </row>
    <row r="9" spans="1:3" x14ac:dyDescent="0.25">
      <c r="A9" t="s">
        <v>110</v>
      </c>
      <c r="B9" t="s">
        <v>112</v>
      </c>
      <c r="C9" t="s">
        <v>223</v>
      </c>
    </row>
    <row r="10" spans="1:3" x14ac:dyDescent="0.25">
      <c r="A10" t="s">
        <v>111</v>
      </c>
      <c r="B10" t="s">
        <v>98</v>
      </c>
      <c r="C10" t="s">
        <v>223</v>
      </c>
    </row>
    <row r="11" spans="1:3" x14ac:dyDescent="0.25">
      <c r="A11" t="s">
        <v>113</v>
      </c>
      <c r="B11" t="s">
        <v>60</v>
      </c>
      <c r="C11" t="s">
        <v>223</v>
      </c>
    </row>
    <row r="12" spans="1:3" x14ac:dyDescent="0.25">
      <c r="A12" t="s">
        <v>114</v>
      </c>
      <c r="B12" t="s">
        <v>60</v>
      </c>
      <c r="C12" t="s">
        <v>223</v>
      </c>
    </row>
    <row r="13" spans="1:3" x14ac:dyDescent="0.25">
      <c r="A13" t="s">
        <v>115</v>
      </c>
      <c r="B13" t="s">
        <v>100</v>
      </c>
      <c r="C13" t="s">
        <v>223</v>
      </c>
    </row>
    <row r="14" spans="1:3" x14ac:dyDescent="0.25">
      <c r="A14" t="s">
        <v>116</v>
      </c>
      <c r="B14" t="s">
        <v>57</v>
      </c>
      <c r="C14" t="s">
        <v>223</v>
      </c>
    </row>
    <row r="15" spans="1:3" x14ac:dyDescent="0.25">
      <c r="A15" t="s">
        <v>117</v>
      </c>
      <c r="B15" t="s">
        <v>57</v>
      </c>
      <c r="C15" t="s">
        <v>223</v>
      </c>
    </row>
    <row r="16" spans="1:3" x14ac:dyDescent="0.25">
      <c r="A16" t="s">
        <v>118</v>
      </c>
      <c r="B16" t="s">
        <v>57</v>
      </c>
      <c r="C16" t="s">
        <v>223</v>
      </c>
    </row>
    <row r="17" spans="1:3" x14ac:dyDescent="0.25">
      <c r="A17" t="s">
        <v>119</v>
      </c>
      <c r="B17" t="s">
        <v>57</v>
      </c>
      <c r="C17" t="s">
        <v>223</v>
      </c>
    </row>
    <row r="18" spans="1:3" x14ac:dyDescent="0.25">
      <c r="A18" t="s">
        <v>120</v>
      </c>
      <c r="B18" t="s">
        <v>57</v>
      </c>
      <c r="C18" t="s">
        <v>223</v>
      </c>
    </row>
    <row r="19" spans="1:3" x14ac:dyDescent="0.25">
      <c r="A19" t="s">
        <v>122</v>
      </c>
      <c r="B19" t="s">
        <v>123</v>
      </c>
      <c r="C19" t="s">
        <v>223</v>
      </c>
    </row>
    <row r="20" spans="1:3" x14ac:dyDescent="0.25">
      <c r="A20" t="s">
        <v>121</v>
      </c>
      <c r="B20" t="s">
        <v>123</v>
      </c>
      <c r="C20" t="s">
        <v>223</v>
      </c>
    </row>
    <row r="21" spans="1:3" x14ac:dyDescent="0.25">
      <c r="A21" t="s">
        <v>124</v>
      </c>
      <c r="B21" t="s">
        <v>46</v>
      </c>
      <c r="C21" t="s">
        <v>223</v>
      </c>
    </row>
    <row r="22" spans="1:3" x14ac:dyDescent="0.25">
      <c r="A22" t="s">
        <v>127</v>
      </c>
      <c r="B22" t="s">
        <v>55</v>
      </c>
      <c r="C22" t="s">
        <v>223</v>
      </c>
    </row>
    <row r="23" spans="1:3" x14ac:dyDescent="0.25">
      <c r="A23" t="s">
        <v>128</v>
      </c>
      <c r="B23" t="s">
        <v>55</v>
      </c>
      <c r="C23" t="s">
        <v>223</v>
      </c>
    </row>
    <row r="24" spans="1:3" x14ac:dyDescent="0.25">
      <c r="A24" t="s">
        <v>125</v>
      </c>
      <c r="B24" t="s">
        <v>55</v>
      </c>
      <c r="C24" t="s">
        <v>223</v>
      </c>
    </row>
    <row r="25" spans="1:3" x14ac:dyDescent="0.25">
      <c r="A25" t="s">
        <v>129</v>
      </c>
      <c r="B25" t="s">
        <v>55</v>
      </c>
      <c r="C25" t="s">
        <v>223</v>
      </c>
    </row>
    <row r="26" spans="1:3" x14ac:dyDescent="0.25">
      <c r="A26" t="s">
        <v>130</v>
      </c>
      <c r="B26" t="s">
        <v>55</v>
      </c>
      <c r="C26" t="s">
        <v>223</v>
      </c>
    </row>
    <row r="27" spans="1:3" x14ac:dyDescent="0.25">
      <c r="A27" t="s">
        <v>131</v>
      </c>
      <c r="B27" t="s">
        <v>57</v>
      </c>
      <c r="C27" t="s">
        <v>223</v>
      </c>
    </row>
    <row r="28" spans="1:3" x14ac:dyDescent="0.25">
      <c r="A28" t="s">
        <v>126</v>
      </c>
      <c r="B28" t="s">
        <v>57</v>
      </c>
      <c r="C28" t="s">
        <v>223</v>
      </c>
    </row>
    <row r="29" spans="1:3" x14ac:dyDescent="0.25">
      <c r="A29" t="s">
        <v>132</v>
      </c>
      <c r="B29" t="s">
        <v>57</v>
      </c>
      <c r="C29" t="s">
        <v>223</v>
      </c>
    </row>
    <row r="30" spans="1:3" x14ac:dyDescent="0.25">
      <c r="A30" t="s">
        <v>133</v>
      </c>
      <c r="B30" t="s">
        <v>81</v>
      </c>
      <c r="C30" t="s">
        <v>223</v>
      </c>
    </row>
    <row r="31" spans="1:3" x14ac:dyDescent="0.25">
      <c r="A31" t="s">
        <v>134</v>
      </c>
      <c r="B31" t="s">
        <v>98</v>
      </c>
      <c r="C31" t="s">
        <v>223</v>
      </c>
    </row>
    <row r="32" spans="1:3" x14ac:dyDescent="0.25">
      <c r="A32" t="s">
        <v>136</v>
      </c>
      <c r="B32" t="s">
        <v>60</v>
      </c>
      <c r="C32" t="s">
        <v>223</v>
      </c>
    </row>
    <row r="33" spans="1:3" x14ac:dyDescent="0.25">
      <c r="A33" t="s">
        <v>137</v>
      </c>
      <c r="B33" t="s">
        <v>60</v>
      </c>
      <c r="C33" t="s">
        <v>223</v>
      </c>
    </row>
    <row r="34" spans="1:3" x14ac:dyDescent="0.25">
      <c r="A34" t="s">
        <v>135</v>
      </c>
      <c r="B34" t="s">
        <v>60</v>
      </c>
      <c r="C34" t="s">
        <v>223</v>
      </c>
    </row>
    <row r="35" spans="1:3" x14ac:dyDescent="0.25">
      <c r="A35" t="s">
        <v>138</v>
      </c>
      <c r="B35" t="s">
        <v>60</v>
      </c>
      <c r="C35" t="s">
        <v>223</v>
      </c>
    </row>
    <row r="36" spans="1:3" x14ac:dyDescent="0.25">
      <c r="A36" t="s">
        <v>139</v>
      </c>
      <c r="B36" t="s">
        <v>60</v>
      </c>
      <c r="C36" t="s">
        <v>223</v>
      </c>
    </row>
    <row r="37" spans="1:3" x14ac:dyDescent="0.25">
      <c r="A37" s="8" t="s">
        <v>140</v>
      </c>
      <c r="B37" s="9" t="s">
        <v>40</v>
      </c>
      <c r="C37" t="s">
        <v>223</v>
      </c>
    </row>
    <row r="38" spans="1:3" x14ac:dyDescent="0.25">
      <c r="A38" s="8" t="s">
        <v>141</v>
      </c>
      <c r="B38" s="9" t="s">
        <v>40</v>
      </c>
      <c r="C38" t="s">
        <v>223</v>
      </c>
    </row>
    <row r="39" spans="1:3" ht="30" x14ac:dyDescent="0.25">
      <c r="A39" s="8" t="s">
        <v>142</v>
      </c>
      <c r="B39" s="9" t="s">
        <v>40</v>
      </c>
      <c r="C39" t="s">
        <v>223</v>
      </c>
    </row>
    <row r="40" spans="1:3" x14ac:dyDescent="0.25">
      <c r="A40" s="8" t="s">
        <v>143</v>
      </c>
      <c r="B40" s="9" t="s">
        <v>40</v>
      </c>
      <c r="C40" t="s">
        <v>223</v>
      </c>
    </row>
    <row r="41" spans="1:3" x14ac:dyDescent="0.25">
      <c r="A41" t="s">
        <v>144</v>
      </c>
      <c r="B41" s="10" t="s">
        <v>46</v>
      </c>
      <c r="C41" t="s">
        <v>223</v>
      </c>
    </row>
    <row r="42" spans="1:3" x14ac:dyDescent="0.25">
      <c r="A42" t="s">
        <v>224</v>
      </c>
      <c r="B42" s="10" t="s">
        <v>38</v>
      </c>
      <c r="C42" t="s">
        <v>223</v>
      </c>
    </row>
    <row r="43" spans="1:3" x14ac:dyDescent="0.25">
      <c r="A43" s="10" t="s">
        <v>225</v>
      </c>
      <c r="B43" s="10" t="s">
        <v>55</v>
      </c>
      <c r="C43" t="s">
        <v>223</v>
      </c>
    </row>
    <row r="44" spans="1:3" x14ac:dyDescent="0.25">
      <c r="A44" t="s">
        <v>152</v>
      </c>
      <c r="B44" s="10" t="s">
        <v>55</v>
      </c>
      <c r="C44" t="s">
        <v>223</v>
      </c>
    </row>
    <row r="45" spans="1:3" x14ac:dyDescent="0.25">
      <c r="A45" t="s">
        <v>226</v>
      </c>
      <c r="B45" s="10" t="s">
        <v>57</v>
      </c>
      <c r="C45" t="s">
        <v>223</v>
      </c>
    </row>
    <row r="46" spans="1:3" x14ac:dyDescent="0.25">
      <c r="A46" t="s">
        <v>227</v>
      </c>
      <c r="B46" s="10" t="s">
        <v>57</v>
      </c>
      <c r="C46" t="s">
        <v>223</v>
      </c>
    </row>
    <row r="47" spans="1:3" x14ac:dyDescent="0.25">
      <c r="A47" t="s">
        <v>228</v>
      </c>
      <c r="B47" s="10" t="s">
        <v>81</v>
      </c>
      <c r="C47" t="s">
        <v>223</v>
      </c>
    </row>
    <row r="48" spans="1:3" x14ac:dyDescent="0.25">
      <c r="A48" t="s">
        <v>229</v>
      </c>
      <c r="B48" s="10" t="s">
        <v>89</v>
      </c>
      <c r="C48" t="s">
        <v>223</v>
      </c>
    </row>
    <row r="49" spans="1:3" x14ac:dyDescent="0.25">
      <c r="A49" t="s">
        <v>230</v>
      </c>
      <c r="B49" s="10" t="s">
        <v>98</v>
      </c>
      <c r="C49" t="s">
        <v>223</v>
      </c>
    </row>
    <row r="50" spans="1:3" x14ac:dyDescent="0.25">
      <c r="A50" t="s">
        <v>231</v>
      </c>
      <c r="B50" s="10" t="s">
        <v>60</v>
      </c>
      <c r="C50" t="s">
        <v>223</v>
      </c>
    </row>
    <row r="51" spans="1:3" x14ac:dyDescent="0.25">
      <c r="A51" t="s">
        <v>154</v>
      </c>
      <c r="B51" s="10" t="s">
        <v>60</v>
      </c>
      <c r="C51" t="s">
        <v>223</v>
      </c>
    </row>
    <row r="52" spans="1:3" x14ac:dyDescent="0.25">
      <c r="A52" t="s">
        <v>232</v>
      </c>
      <c r="B52" s="10" t="s">
        <v>60</v>
      </c>
      <c r="C52" t="s">
        <v>223</v>
      </c>
    </row>
    <row r="53" spans="1:3" x14ac:dyDescent="0.25">
      <c r="A53" t="s">
        <v>158</v>
      </c>
      <c r="B53" s="10" t="s">
        <v>60</v>
      </c>
      <c r="C53" t="s">
        <v>223</v>
      </c>
    </row>
    <row r="54" spans="1:3" x14ac:dyDescent="0.25">
      <c r="A54" t="s">
        <v>159</v>
      </c>
      <c r="B54" s="10" t="s">
        <v>100</v>
      </c>
      <c r="C54" t="s">
        <v>223</v>
      </c>
    </row>
    <row r="55" spans="1:3" x14ac:dyDescent="0.25">
      <c r="A55" t="s">
        <v>233</v>
      </c>
      <c r="B55" s="10" t="s">
        <v>69</v>
      </c>
      <c r="C55" t="s">
        <v>223</v>
      </c>
    </row>
    <row r="56" spans="1:3" x14ac:dyDescent="0.25">
      <c r="A56" t="s">
        <v>234</v>
      </c>
      <c r="B56" s="10" t="s">
        <v>33</v>
      </c>
      <c r="C56" t="s">
        <v>223</v>
      </c>
    </row>
    <row r="57" spans="1:3" x14ac:dyDescent="0.25">
      <c r="A57" t="s">
        <v>235</v>
      </c>
      <c r="B57" s="10" t="s">
        <v>33</v>
      </c>
      <c r="C57" t="s">
        <v>223</v>
      </c>
    </row>
    <row r="58" spans="1:3" x14ac:dyDescent="0.25">
      <c r="A58" t="s">
        <v>236</v>
      </c>
      <c r="B58" s="10" t="s">
        <v>69</v>
      </c>
      <c r="C58" t="s">
        <v>223</v>
      </c>
    </row>
    <row r="59" spans="1:3" x14ac:dyDescent="0.25">
      <c r="A59" t="s">
        <v>237</v>
      </c>
      <c r="B59" s="10" t="s">
        <v>99</v>
      </c>
      <c r="C59" t="s">
        <v>223</v>
      </c>
    </row>
    <row r="60" spans="1:3" x14ac:dyDescent="0.25">
      <c r="A60" t="s">
        <v>238</v>
      </c>
      <c r="B60" s="10" t="s">
        <v>66</v>
      </c>
      <c r="C60" t="s">
        <v>223</v>
      </c>
    </row>
    <row r="61" spans="1:3" x14ac:dyDescent="0.25">
      <c r="A61" t="s">
        <v>239</v>
      </c>
      <c r="B61" s="10" t="s">
        <v>53</v>
      </c>
      <c r="C61" t="s">
        <v>223</v>
      </c>
    </row>
    <row r="62" spans="1:3" x14ac:dyDescent="0.25">
      <c r="A62" t="s">
        <v>240</v>
      </c>
      <c r="B62" s="10" t="s">
        <v>53</v>
      </c>
      <c r="C62" t="s">
        <v>223</v>
      </c>
    </row>
    <row r="63" spans="1:3" x14ac:dyDescent="0.25">
      <c r="A63" t="s">
        <v>163</v>
      </c>
      <c r="B63" s="10" t="s">
        <v>53</v>
      </c>
      <c r="C63" t="s">
        <v>223</v>
      </c>
    </row>
    <row r="64" spans="1:3" x14ac:dyDescent="0.25">
      <c r="A64" t="s">
        <v>167</v>
      </c>
      <c r="B64" t="s">
        <v>46</v>
      </c>
      <c r="C64" t="s">
        <v>221</v>
      </c>
    </row>
    <row r="65" spans="1:3" x14ac:dyDescent="0.25">
      <c r="A65" t="s">
        <v>168</v>
      </c>
      <c r="B65" t="s">
        <v>46</v>
      </c>
      <c r="C65" t="s">
        <v>221</v>
      </c>
    </row>
    <row r="66" spans="1:3" x14ac:dyDescent="0.25">
      <c r="A66" t="s">
        <v>169</v>
      </c>
      <c r="B66" t="s">
        <v>79</v>
      </c>
      <c r="C66" t="s">
        <v>221</v>
      </c>
    </row>
    <row r="67" spans="1:3" x14ac:dyDescent="0.25">
      <c r="A67" t="s">
        <v>170</v>
      </c>
      <c r="B67" t="s">
        <v>79</v>
      </c>
      <c r="C67" t="s">
        <v>221</v>
      </c>
    </row>
    <row r="68" spans="1:3" x14ac:dyDescent="0.25">
      <c r="A68" t="s">
        <v>171</v>
      </c>
      <c r="B68" t="s">
        <v>79</v>
      </c>
      <c r="C68" t="s">
        <v>221</v>
      </c>
    </row>
    <row r="69" spans="1:3" x14ac:dyDescent="0.25">
      <c r="A69" t="s">
        <v>172</v>
      </c>
      <c r="B69" t="s">
        <v>79</v>
      </c>
      <c r="C69" t="s">
        <v>221</v>
      </c>
    </row>
    <row r="70" spans="1:3" x14ac:dyDescent="0.25">
      <c r="A70" t="s">
        <v>173</v>
      </c>
      <c r="B70" t="s">
        <v>46</v>
      </c>
      <c r="C70" t="s">
        <v>221</v>
      </c>
    </row>
    <row r="71" spans="1:3" x14ac:dyDescent="0.25">
      <c r="A71" t="s">
        <v>174</v>
      </c>
      <c r="B71" t="s">
        <v>79</v>
      </c>
      <c r="C71" t="s">
        <v>221</v>
      </c>
    </row>
    <row r="72" spans="1:3" x14ac:dyDescent="0.25">
      <c r="A72" t="s">
        <v>175</v>
      </c>
      <c r="B72" t="s">
        <v>79</v>
      </c>
      <c r="C72" t="s">
        <v>221</v>
      </c>
    </row>
    <row r="73" spans="1:3" x14ac:dyDescent="0.25">
      <c r="A73" t="s">
        <v>176</v>
      </c>
      <c r="B73" t="s">
        <v>46</v>
      </c>
      <c r="C73" t="s">
        <v>221</v>
      </c>
    </row>
    <row r="74" spans="1:3" x14ac:dyDescent="0.25">
      <c r="A74" t="s">
        <v>177</v>
      </c>
      <c r="B74" t="s">
        <v>38</v>
      </c>
      <c r="C74" t="s">
        <v>221</v>
      </c>
    </row>
    <row r="75" spans="1:3" x14ac:dyDescent="0.25">
      <c r="A75" t="s">
        <v>178</v>
      </c>
      <c r="B75" t="s">
        <v>55</v>
      </c>
      <c r="C75" t="s">
        <v>221</v>
      </c>
    </row>
    <row r="76" spans="1:3" x14ac:dyDescent="0.25">
      <c r="A76" t="s">
        <v>179</v>
      </c>
      <c r="B76" t="s">
        <v>55</v>
      </c>
      <c r="C76" t="s">
        <v>221</v>
      </c>
    </row>
    <row r="77" spans="1:3" x14ac:dyDescent="0.25">
      <c r="A77" t="s">
        <v>180</v>
      </c>
      <c r="B77" t="s">
        <v>79</v>
      </c>
      <c r="C77" t="s">
        <v>221</v>
      </c>
    </row>
    <row r="78" spans="1:3" x14ac:dyDescent="0.25">
      <c r="A78" t="s">
        <v>181</v>
      </c>
      <c r="B78" t="s">
        <v>55</v>
      </c>
      <c r="C78" t="s">
        <v>221</v>
      </c>
    </row>
    <row r="79" spans="1:3" x14ac:dyDescent="0.25">
      <c r="A79" t="s">
        <v>182</v>
      </c>
      <c r="B79" t="s">
        <v>57</v>
      </c>
      <c r="C79" t="s">
        <v>221</v>
      </c>
    </row>
    <row r="80" spans="1:3" x14ac:dyDescent="0.25">
      <c r="A80" t="s">
        <v>183</v>
      </c>
      <c r="B80" t="s">
        <v>57</v>
      </c>
      <c r="C80" t="s">
        <v>221</v>
      </c>
    </row>
    <row r="81" spans="1:3" x14ac:dyDescent="0.25">
      <c r="A81" t="s">
        <v>184</v>
      </c>
      <c r="B81" t="s">
        <v>100</v>
      </c>
      <c r="C81" t="s">
        <v>221</v>
      </c>
    </row>
    <row r="82" spans="1:3" x14ac:dyDescent="0.25">
      <c r="A82" t="s">
        <v>185</v>
      </c>
      <c r="B82" t="s">
        <v>100</v>
      </c>
      <c r="C82" t="s">
        <v>221</v>
      </c>
    </row>
    <row r="83" spans="1:3" x14ac:dyDescent="0.25">
      <c r="A83" t="s">
        <v>186</v>
      </c>
      <c r="B83" t="s">
        <v>100</v>
      </c>
      <c r="C83" t="s">
        <v>221</v>
      </c>
    </row>
    <row r="84" spans="1:3" x14ac:dyDescent="0.25">
      <c r="A84" s="11" t="s">
        <v>187</v>
      </c>
      <c r="B84" t="s">
        <v>60</v>
      </c>
      <c r="C84" t="s">
        <v>222</v>
      </c>
    </row>
    <row r="85" spans="1:3" x14ac:dyDescent="0.25">
      <c r="A85" s="11" t="s">
        <v>188</v>
      </c>
      <c r="B85" t="s">
        <v>81</v>
      </c>
      <c r="C85" t="s">
        <v>222</v>
      </c>
    </row>
    <row r="86" spans="1:3" x14ac:dyDescent="0.25">
      <c r="A86" s="11" t="s">
        <v>189</v>
      </c>
      <c r="B86" t="s">
        <v>81</v>
      </c>
      <c r="C86" t="s">
        <v>222</v>
      </c>
    </row>
    <row r="87" spans="1:3" x14ac:dyDescent="0.25">
      <c r="A87" s="11" t="s">
        <v>190</v>
      </c>
      <c r="B87" t="s">
        <v>100</v>
      </c>
      <c r="C87" t="s">
        <v>222</v>
      </c>
    </row>
    <row r="88" spans="1:3" x14ac:dyDescent="0.25">
      <c r="A88" s="11" t="s">
        <v>191</v>
      </c>
      <c r="B88" t="s">
        <v>89</v>
      </c>
      <c r="C88" t="s">
        <v>222</v>
      </c>
    </row>
    <row r="89" spans="1:3" x14ac:dyDescent="0.25">
      <c r="A89" s="11" t="s">
        <v>192</v>
      </c>
      <c r="B89" t="s">
        <v>98</v>
      </c>
      <c r="C89" t="s">
        <v>222</v>
      </c>
    </row>
    <row r="90" spans="1:3" x14ac:dyDescent="0.25">
      <c r="A90" s="11" t="s">
        <v>193</v>
      </c>
      <c r="B90" t="s">
        <v>46</v>
      </c>
      <c r="C90" t="s">
        <v>222</v>
      </c>
    </row>
    <row r="91" spans="1:3" x14ac:dyDescent="0.25">
      <c r="A91" s="11" t="s">
        <v>194</v>
      </c>
      <c r="B91" t="s">
        <v>46</v>
      </c>
      <c r="C91" t="s">
        <v>222</v>
      </c>
    </row>
    <row r="92" spans="1:3" x14ac:dyDescent="0.25">
      <c r="A92" t="s">
        <v>195</v>
      </c>
      <c r="B92" t="s">
        <v>57</v>
      </c>
      <c r="C92" t="s">
        <v>222</v>
      </c>
    </row>
    <row r="93" spans="1:3" x14ac:dyDescent="0.25">
      <c r="A93" t="s">
        <v>196</v>
      </c>
      <c r="B93" t="s">
        <v>100</v>
      </c>
      <c r="C93" t="s">
        <v>222</v>
      </c>
    </row>
    <row r="94" spans="1:3" x14ac:dyDescent="0.25">
      <c r="A94" t="s">
        <v>197</v>
      </c>
      <c r="B94" t="s">
        <v>38</v>
      </c>
      <c r="C94" t="s">
        <v>222</v>
      </c>
    </row>
    <row r="95" spans="1:3" x14ac:dyDescent="0.25">
      <c r="A95" t="s">
        <v>198</v>
      </c>
      <c r="B95" t="s">
        <v>38</v>
      </c>
      <c r="C95" t="s">
        <v>222</v>
      </c>
    </row>
    <row r="96" spans="1:3" x14ac:dyDescent="0.25">
      <c r="A96" t="s">
        <v>199</v>
      </c>
      <c r="B96" t="s">
        <v>38</v>
      </c>
      <c r="C96" t="s">
        <v>222</v>
      </c>
    </row>
    <row r="97" spans="1:3" x14ac:dyDescent="0.25">
      <c r="A97" t="s">
        <v>200</v>
      </c>
      <c r="B97" t="s">
        <v>38</v>
      </c>
      <c r="C97" t="s">
        <v>222</v>
      </c>
    </row>
    <row r="98" spans="1:3" x14ac:dyDescent="0.25">
      <c r="A98" t="s">
        <v>201</v>
      </c>
      <c r="B98" t="s">
        <v>100</v>
      </c>
      <c r="C98" t="s">
        <v>222</v>
      </c>
    </row>
    <row r="99" spans="1:3" x14ac:dyDescent="0.25">
      <c r="A99" t="s">
        <v>202</v>
      </c>
      <c r="B99" t="s">
        <v>39</v>
      </c>
      <c r="C99" t="s">
        <v>222</v>
      </c>
    </row>
    <row r="100" spans="1:3" x14ac:dyDescent="0.25">
      <c r="A100" t="s">
        <v>203</v>
      </c>
      <c r="B100" t="s">
        <v>39</v>
      </c>
      <c r="C100" t="s">
        <v>222</v>
      </c>
    </row>
    <row r="101" spans="1:3" x14ac:dyDescent="0.25">
      <c r="A101" t="s">
        <v>204</v>
      </c>
      <c r="B101" t="s">
        <v>39</v>
      </c>
      <c r="C101" t="s">
        <v>222</v>
      </c>
    </row>
    <row r="102" spans="1:3" x14ac:dyDescent="0.25">
      <c r="A102" t="s">
        <v>205</v>
      </c>
      <c r="B102" t="s">
        <v>79</v>
      </c>
      <c r="C102" t="s">
        <v>222</v>
      </c>
    </row>
    <row r="103" spans="1:3" x14ac:dyDescent="0.25">
      <c r="A103" t="s">
        <v>206</v>
      </c>
      <c r="B103" t="s">
        <v>55</v>
      </c>
      <c r="C103" t="s">
        <v>222</v>
      </c>
    </row>
    <row r="104" spans="1:3" x14ac:dyDescent="0.25">
      <c r="A104" t="s">
        <v>207</v>
      </c>
      <c r="B104" t="s">
        <v>55</v>
      </c>
      <c r="C104" t="s">
        <v>222</v>
      </c>
    </row>
    <row r="105" spans="1:3" x14ac:dyDescent="0.25">
      <c r="A105" t="s">
        <v>208</v>
      </c>
      <c r="B105" t="s">
        <v>55</v>
      </c>
      <c r="C105" t="s">
        <v>222</v>
      </c>
    </row>
    <row r="106" spans="1:3" x14ac:dyDescent="0.25">
      <c r="A106" t="s">
        <v>210</v>
      </c>
      <c r="B106" t="s">
        <v>57</v>
      </c>
      <c r="C106" t="s">
        <v>222</v>
      </c>
    </row>
    <row r="107" spans="1:3" x14ac:dyDescent="0.25">
      <c r="A107" t="s">
        <v>211</v>
      </c>
      <c r="B107" t="s">
        <v>57</v>
      </c>
      <c r="C107" t="s">
        <v>222</v>
      </c>
    </row>
    <row r="108" spans="1:3" x14ac:dyDescent="0.25">
      <c r="A108" t="s">
        <v>212</v>
      </c>
      <c r="B108" t="s">
        <v>60</v>
      </c>
      <c r="C108" t="s">
        <v>222</v>
      </c>
    </row>
    <row r="109" spans="1:3" x14ac:dyDescent="0.25">
      <c r="A109" t="s">
        <v>209</v>
      </c>
      <c r="B109" t="s">
        <v>57</v>
      </c>
      <c r="C109" t="s">
        <v>222</v>
      </c>
    </row>
    <row r="110" spans="1:3" x14ac:dyDescent="0.25">
      <c r="A110" t="s">
        <v>213</v>
      </c>
      <c r="B110" t="s">
        <v>57</v>
      </c>
      <c r="C110" t="s">
        <v>222</v>
      </c>
    </row>
    <row r="111" spans="1:3" x14ac:dyDescent="0.25">
      <c r="A111" t="s">
        <v>216</v>
      </c>
      <c r="B111" t="s">
        <v>60</v>
      </c>
      <c r="C111" t="s">
        <v>222</v>
      </c>
    </row>
    <row r="112" spans="1:3" x14ac:dyDescent="0.25">
      <c r="A112" t="s">
        <v>214</v>
      </c>
      <c r="B112" t="s">
        <v>60</v>
      </c>
      <c r="C112" t="s">
        <v>222</v>
      </c>
    </row>
    <row r="113" spans="1:3" x14ac:dyDescent="0.25">
      <c r="A113" t="s">
        <v>215</v>
      </c>
      <c r="B113" t="s">
        <v>60</v>
      </c>
      <c r="C113" t="s">
        <v>222</v>
      </c>
    </row>
    <row r="114" spans="1:3" x14ac:dyDescent="0.25">
      <c r="A114" t="s">
        <v>217</v>
      </c>
      <c r="B114" t="s">
        <v>60</v>
      </c>
      <c r="C114" t="s">
        <v>222</v>
      </c>
    </row>
    <row r="115" spans="1:3" x14ac:dyDescent="0.25">
      <c r="A115" t="s">
        <v>218</v>
      </c>
      <c r="B115" t="s">
        <v>32</v>
      </c>
      <c r="C115" t="s">
        <v>222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versenyListaFrissites">
          <controlPr defaultSize="0" autoLine="0" r:id="rId5">
            <anchor moveWithCells="1">
              <from>
                <xdr:col>3</xdr:col>
                <xdr:colOff>9525</xdr:colOff>
                <xdr:row>0</xdr:row>
                <xdr:rowOff>9525</xdr:rowOff>
              </from>
              <to>
                <xdr:col>4</xdr:col>
                <xdr:colOff>514350</xdr:colOff>
                <xdr:row>1</xdr:row>
                <xdr:rowOff>161925</xdr:rowOff>
              </to>
            </anchor>
          </controlPr>
        </control>
      </mc:Choice>
      <mc:Fallback>
        <control shapeId="5121" r:id="rId4" name="versenyListaFrissite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C7BC8-F837-4CD3-8A3C-006A5E513AE7}">
  <sheetPr codeName="Sheet5"/>
  <dimension ref="A1:C28"/>
  <sheetViews>
    <sheetView topLeftCell="A7" workbookViewId="0">
      <selection activeCell="A2" sqref="A2:B28"/>
    </sheetView>
  </sheetViews>
  <sheetFormatPr defaultRowHeight="15" x14ac:dyDescent="0.25"/>
  <cols>
    <col min="1" max="1" width="78.140625" customWidth="1"/>
    <col min="2" max="2" width="33.28515625" customWidth="1"/>
  </cols>
  <sheetData>
    <row r="1" spans="1:3" ht="15.75" x14ac:dyDescent="0.25">
      <c r="A1" s="7" t="s">
        <v>101</v>
      </c>
      <c r="B1" s="7" t="s">
        <v>102</v>
      </c>
    </row>
    <row r="2" spans="1:3" ht="15" customHeight="1" x14ac:dyDescent="0.25">
      <c r="A2" s="8" t="s">
        <v>140</v>
      </c>
      <c r="B2" s="9" t="s">
        <v>40</v>
      </c>
      <c r="C2" s="6"/>
    </row>
    <row r="3" spans="1:3" x14ac:dyDescent="0.25">
      <c r="A3" s="8" t="s">
        <v>141</v>
      </c>
      <c r="B3" s="9" t="s">
        <v>40</v>
      </c>
      <c r="C3" s="6"/>
    </row>
    <row r="4" spans="1:3" ht="15" customHeight="1" x14ac:dyDescent="0.25">
      <c r="A4" s="8" t="s">
        <v>142</v>
      </c>
      <c r="B4" s="9" t="s">
        <v>40</v>
      </c>
      <c r="C4" s="6"/>
    </row>
    <row r="5" spans="1:3" ht="15" customHeight="1" x14ac:dyDescent="0.25">
      <c r="A5" s="8" t="s">
        <v>143</v>
      </c>
      <c r="B5" s="9" t="s">
        <v>40</v>
      </c>
      <c r="C5" s="6"/>
    </row>
    <row r="6" spans="1:3" x14ac:dyDescent="0.25">
      <c r="A6" t="s">
        <v>144</v>
      </c>
      <c r="B6" s="10" t="s">
        <v>46</v>
      </c>
    </row>
    <row r="7" spans="1:3" x14ac:dyDescent="0.25">
      <c r="A7" t="s">
        <v>145</v>
      </c>
      <c r="B7" s="10" t="s">
        <v>38</v>
      </c>
    </row>
    <row r="8" spans="1:3" x14ac:dyDescent="0.25">
      <c r="A8" s="10" t="s">
        <v>146</v>
      </c>
      <c r="B8" s="10" t="s">
        <v>55</v>
      </c>
    </row>
    <row r="9" spans="1:3" x14ac:dyDescent="0.25">
      <c r="A9" t="s">
        <v>152</v>
      </c>
      <c r="B9" s="10" t="s">
        <v>55</v>
      </c>
    </row>
    <row r="10" spans="1:3" x14ac:dyDescent="0.25">
      <c r="A10" t="s">
        <v>147</v>
      </c>
      <c r="B10" s="10" t="s">
        <v>57</v>
      </c>
    </row>
    <row r="11" spans="1:3" x14ac:dyDescent="0.25">
      <c r="A11" t="s">
        <v>148</v>
      </c>
      <c r="B11" s="10" t="s">
        <v>57</v>
      </c>
    </row>
    <row r="12" spans="1:3" x14ac:dyDescent="0.25">
      <c r="A12" t="s">
        <v>149</v>
      </c>
      <c r="B12" s="10" t="s">
        <v>81</v>
      </c>
    </row>
    <row r="13" spans="1:3" x14ac:dyDescent="0.25">
      <c r="A13" t="s">
        <v>150</v>
      </c>
      <c r="B13" s="10" t="s">
        <v>89</v>
      </c>
    </row>
    <row r="14" spans="1:3" x14ac:dyDescent="0.25">
      <c r="A14" t="s">
        <v>153</v>
      </c>
      <c r="B14" s="10" t="s">
        <v>98</v>
      </c>
    </row>
    <row r="15" spans="1:3" x14ac:dyDescent="0.25">
      <c r="A15" t="s">
        <v>151</v>
      </c>
      <c r="B15" s="10" t="s">
        <v>60</v>
      </c>
    </row>
    <row r="16" spans="1:3" x14ac:dyDescent="0.25">
      <c r="A16" t="s">
        <v>154</v>
      </c>
      <c r="B16" s="10" t="s">
        <v>60</v>
      </c>
    </row>
    <row r="17" spans="1:2" x14ac:dyDescent="0.25">
      <c r="A17" t="s">
        <v>155</v>
      </c>
      <c r="B17" s="10" t="s">
        <v>60</v>
      </c>
    </row>
    <row r="18" spans="1:2" x14ac:dyDescent="0.25">
      <c r="A18" t="s">
        <v>158</v>
      </c>
      <c r="B18" s="10" t="s">
        <v>60</v>
      </c>
    </row>
    <row r="19" spans="1:2" x14ac:dyDescent="0.25">
      <c r="A19" t="s">
        <v>159</v>
      </c>
      <c r="B19" s="10" t="s">
        <v>100</v>
      </c>
    </row>
    <row r="20" spans="1:2" x14ac:dyDescent="0.25">
      <c r="A20" t="s">
        <v>156</v>
      </c>
      <c r="B20" s="10" t="s">
        <v>69</v>
      </c>
    </row>
    <row r="21" spans="1:2" x14ac:dyDescent="0.25">
      <c r="A21" t="s">
        <v>160</v>
      </c>
      <c r="B21" s="10" t="s">
        <v>33</v>
      </c>
    </row>
    <row r="22" spans="1:2" x14ac:dyDescent="0.25">
      <c r="A22" t="s">
        <v>161</v>
      </c>
      <c r="B22" s="10" t="s">
        <v>33</v>
      </c>
    </row>
    <row r="23" spans="1:2" x14ac:dyDescent="0.25">
      <c r="A23" t="s">
        <v>162</v>
      </c>
      <c r="B23" s="10" t="s">
        <v>69</v>
      </c>
    </row>
    <row r="24" spans="1:2" x14ac:dyDescent="0.25">
      <c r="A24" t="s">
        <v>157</v>
      </c>
      <c r="B24" s="10" t="s">
        <v>99</v>
      </c>
    </row>
    <row r="25" spans="1:2" x14ac:dyDescent="0.25">
      <c r="A25" t="s">
        <v>164</v>
      </c>
      <c r="B25" s="10" t="s">
        <v>66</v>
      </c>
    </row>
    <row r="26" spans="1:2" x14ac:dyDescent="0.25">
      <c r="A26" t="s">
        <v>165</v>
      </c>
      <c r="B26" s="10" t="s">
        <v>53</v>
      </c>
    </row>
    <row r="27" spans="1:2" x14ac:dyDescent="0.25">
      <c r="A27" t="s">
        <v>166</v>
      </c>
      <c r="B27" s="10" t="s">
        <v>53</v>
      </c>
    </row>
    <row r="28" spans="1:2" x14ac:dyDescent="0.25">
      <c r="A28" t="s">
        <v>163</v>
      </c>
      <c r="B28" s="10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74FCD-6175-43E1-BC64-C191E63CE515}">
  <sheetPr codeName="Sheet6"/>
  <dimension ref="A1:B21"/>
  <sheetViews>
    <sheetView workbookViewId="0">
      <selection activeCell="A2" sqref="A2:B21"/>
    </sheetView>
  </sheetViews>
  <sheetFormatPr defaultRowHeight="15" x14ac:dyDescent="0.25"/>
  <cols>
    <col min="1" max="1" width="79.7109375" customWidth="1"/>
    <col min="2" max="2" width="54.7109375" customWidth="1"/>
    <col min="3" max="3" width="9.42578125" customWidth="1"/>
  </cols>
  <sheetData>
    <row r="1" spans="1:2" ht="15.75" x14ac:dyDescent="0.25">
      <c r="A1" s="7" t="s">
        <v>101</v>
      </c>
      <c r="B1" s="7" t="s">
        <v>102</v>
      </c>
    </row>
    <row r="2" spans="1:2" x14ac:dyDescent="0.25">
      <c r="A2" t="s">
        <v>167</v>
      </c>
      <c r="B2" t="s">
        <v>46</v>
      </c>
    </row>
    <row r="3" spans="1:2" x14ac:dyDescent="0.25">
      <c r="A3" t="s">
        <v>168</v>
      </c>
      <c r="B3" t="s">
        <v>46</v>
      </c>
    </row>
    <row r="4" spans="1:2" x14ac:dyDescent="0.25">
      <c r="A4" t="s">
        <v>169</v>
      </c>
      <c r="B4" t="s">
        <v>79</v>
      </c>
    </row>
    <row r="5" spans="1:2" x14ac:dyDescent="0.25">
      <c r="A5" t="s">
        <v>170</v>
      </c>
      <c r="B5" t="s">
        <v>79</v>
      </c>
    </row>
    <row r="6" spans="1:2" x14ac:dyDescent="0.25">
      <c r="A6" t="s">
        <v>171</v>
      </c>
      <c r="B6" t="s">
        <v>79</v>
      </c>
    </row>
    <row r="7" spans="1:2" x14ac:dyDescent="0.25">
      <c r="A7" t="s">
        <v>172</v>
      </c>
      <c r="B7" t="s">
        <v>79</v>
      </c>
    </row>
    <row r="8" spans="1:2" x14ac:dyDescent="0.25">
      <c r="A8" t="s">
        <v>173</v>
      </c>
      <c r="B8" t="s">
        <v>46</v>
      </c>
    </row>
    <row r="9" spans="1:2" x14ac:dyDescent="0.25">
      <c r="A9" t="s">
        <v>174</v>
      </c>
      <c r="B9" t="s">
        <v>79</v>
      </c>
    </row>
    <row r="10" spans="1:2" x14ac:dyDescent="0.25">
      <c r="A10" t="s">
        <v>175</v>
      </c>
      <c r="B10" t="s">
        <v>79</v>
      </c>
    </row>
    <row r="11" spans="1:2" x14ac:dyDescent="0.25">
      <c r="A11" t="s">
        <v>176</v>
      </c>
      <c r="B11" t="s">
        <v>46</v>
      </c>
    </row>
    <row r="12" spans="1:2" x14ac:dyDescent="0.25">
      <c r="A12" t="s">
        <v>177</v>
      </c>
      <c r="B12" t="s">
        <v>38</v>
      </c>
    </row>
    <row r="13" spans="1:2" x14ac:dyDescent="0.25">
      <c r="A13" t="s">
        <v>178</v>
      </c>
      <c r="B13" t="s">
        <v>55</v>
      </c>
    </row>
    <row r="14" spans="1:2" x14ac:dyDescent="0.25">
      <c r="A14" t="s">
        <v>179</v>
      </c>
      <c r="B14" t="s">
        <v>55</v>
      </c>
    </row>
    <row r="15" spans="1:2" x14ac:dyDescent="0.25">
      <c r="A15" t="s">
        <v>180</v>
      </c>
      <c r="B15" t="s">
        <v>79</v>
      </c>
    </row>
    <row r="16" spans="1:2" x14ac:dyDescent="0.25">
      <c r="A16" t="s">
        <v>181</v>
      </c>
      <c r="B16" t="s">
        <v>55</v>
      </c>
    </row>
    <row r="17" spans="1:2" x14ac:dyDescent="0.25">
      <c r="A17" t="s">
        <v>182</v>
      </c>
      <c r="B17" t="s">
        <v>57</v>
      </c>
    </row>
    <row r="18" spans="1:2" x14ac:dyDescent="0.25">
      <c r="A18" t="s">
        <v>183</v>
      </c>
      <c r="B18" t="s">
        <v>57</v>
      </c>
    </row>
    <row r="19" spans="1:2" x14ac:dyDescent="0.25">
      <c r="A19" t="s">
        <v>184</v>
      </c>
      <c r="B19" t="s">
        <v>100</v>
      </c>
    </row>
    <row r="20" spans="1:2" x14ac:dyDescent="0.25">
      <c r="A20" t="s">
        <v>185</v>
      </c>
      <c r="B20" t="s">
        <v>100</v>
      </c>
    </row>
    <row r="21" spans="1:2" x14ac:dyDescent="0.25">
      <c r="A21" t="s">
        <v>186</v>
      </c>
      <c r="B21" t="s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EBC3C-93F2-43E2-A22C-EB3B1E4B3749}">
  <sheetPr codeName="Sheet7"/>
  <dimension ref="A1:B33"/>
  <sheetViews>
    <sheetView topLeftCell="A12" workbookViewId="0">
      <selection activeCell="B35" sqref="B35"/>
    </sheetView>
  </sheetViews>
  <sheetFormatPr defaultRowHeight="15" x14ac:dyDescent="0.25"/>
  <cols>
    <col min="1" max="1" width="67.140625" customWidth="1"/>
    <col min="2" max="2" width="61" customWidth="1"/>
  </cols>
  <sheetData>
    <row r="1" spans="1:2" ht="15.75" x14ac:dyDescent="0.25">
      <c r="A1" s="7" t="s">
        <v>101</v>
      </c>
      <c r="B1" s="7" t="s">
        <v>102</v>
      </c>
    </row>
    <row r="2" spans="1:2" x14ac:dyDescent="0.25">
      <c r="A2" s="11" t="s">
        <v>187</v>
      </c>
      <c r="B2" t="s">
        <v>60</v>
      </c>
    </row>
    <row r="3" spans="1:2" x14ac:dyDescent="0.25">
      <c r="A3" s="11" t="s">
        <v>188</v>
      </c>
      <c r="B3" t="s">
        <v>81</v>
      </c>
    </row>
    <row r="4" spans="1:2" x14ac:dyDescent="0.25">
      <c r="A4" s="11" t="s">
        <v>189</v>
      </c>
      <c r="B4" t="s">
        <v>81</v>
      </c>
    </row>
    <row r="5" spans="1:2" x14ac:dyDescent="0.25">
      <c r="A5" s="11" t="s">
        <v>190</v>
      </c>
      <c r="B5" t="s">
        <v>100</v>
      </c>
    </row>
    <row r="6" spans="1:2" x14ac:dyDescent="0.25">
      <c r="A6" s="11" t="s">
        <v>191</v>
      </c>
      <c r="B6" t="s">
        <v>89</v>
      </c>
    </row>
    <row r="7" spans="1:2" x14ac:dyDescent="0.25">
      <c r="A7" s="11" t="s">
        <v>192</v>
      </c>
      <c r="B7" t="s">
        <v>98</v>
      </c>
    </row>
    <row r="8" spans="1:2" x14ac:dyDescent="0.25">
      <c r="A8" s="11" t="s">
        <v>193</v>
      </c>
      <c r="B8" t="s">
        <v>46</v>
      </c>
    </row>
    <row r="9" spans="1:2" x14ac:dyDescent="0.25">
      <c r="A9" s="11" t="s">
        <v>194</v>
      </c>
      <c r="B9" t="s">
        <v>46</v>
      </c>
    </row>
    <row r="10" spans="1:2" x14ac:dyDescent="0.25">
      <c r="A10" t="s">
        <v>195</v>
      </c>
      <c r="B10" t="s">
        <v>57</v>
      </c>
    </row>
    <row r="11" spans="1:2" x14ac:dyDescent="0.25">
      <c r="A11" t="s">
        <v>196</v>
      </c>
      <c r="B11" t="s">
        <v>100</v>
      </c>
    </row>
    <row r="12" spans="1:2" x14ac:dyDescent="0.25">
      <c r="A12" t="s">
        <v>197</v>
      </c>
      <c r="B12" t="s">
        <v>38</v>
      </c>
    </row>
    <row r="13" spans="1:2" x14ac:dyDescent="0.25">
      <c r="A13" t="s">
        <v>198</v>
      </c>
      <c r="B13" t="s">
        <v>38</v>
      </c>
    </row>
    <row r="14" spans="1:2" x14ac:dyDescent="0.25">
      <c r="A14" t="s">
        <v>199</v>
      </c>
      <c r="B14" t="s">
        <v>38</v>
      </c>
    </row>
    <row r="15" spans="1:2" x14ac:dyDescent="0.25">
      <c r="A15" t="s">
        <v>200</v>
      </c>
      <c r="B15" t="s">
        <v>38</v>
      </c>
    </row>
    <row r="16" spans="1:2" x14ac:dyDescent="0.25">
      <c r="A16" t="s">
        <v>201</v>
      </c>
      <c r="B16" t="s">
        <v>100</v>
      </c>
    </row>
    <row r="17" spans="1:2" x14ac:dyDescent="0.25">
      <c r="A17" t="s">
        <v>202</v>
      </c>
      <c r="B17" t="s">
        <v>39</v>
      </c>
    </row>
    <row r="18" spans="1:2" x14ac:dyDescent="0.25">
      <c r="A18" t="s">
        <v>203</v>
      </c>
      <c r="B18" t="s">
        <v>39</v>
      </c>
    </row>
    <row r="19" spans="1:2" x14ac:dyDescent="0.25">
      <c r="A19" t="s">
        <v>204</v>
      </c>
      <c r="B19" t="s">
        <v>39</v>
      </c>
    </row>
    <row r="20" spans="1:2" x14ac:dyDescent="0.25">
      <c r="A20" t="s">
        <v>205</v>
      </c>
      <c r="B20" t="s">
        <v>79</v>
      </c>
    </row>
    <row r="21" spans="1:2" x14ac:dyDescent="0.25">
      <c r="A21" t="s">
        <v>206</v>
      </c>
      <c r="B21" t="s">
        <v>55</v>
      </c>
    </row>
    <row r="22" spans="1:2" x14ac:dyDescent="0.25">
      <c r="A22" t="s">
        <v>207</v>
      </c>
      <c r="B22" t="s">
        <v>55</v>
      </c>
    </row>
    <row r="23" spans="1:2" x14ac:dyDescent="0.25">
      <c r="A23" t="s">
        <v>208</v>
      </c>
      <c r="B23" t="s">
        <v>55</v>
      </c>
    </row>
    <row r="24" spans="1:2" x14ac:dyDescent="0.25">
      <c r="A24" t="s">
        <v>210</v>
      </c>
      <c r="B24" t="s">
        <v>57</v>
      </c>
    </row>
    <row r="25" spans="1:2" x14ac:dyDescent="0.25">
      <c r="A25" t="s">
        <v>211</v>
      </c>
      <c r="B25" t="s">
        <v>57</v>
      </c>
    </row>
    <row r="26" spans="1:2" x14ac:dyDescent="0.25">
      <c r="A26" t="s">
        <v>212</v>
      </c>
      <c r="B26" t="s">
        <v>60</v>
      </c>
    </row>
    <row r="27" spans="1:2" x14ac:dyDescent="0.25">
      <c r="A27" t="s">
        <v>209</v>
      </c>
      <c r="B27" t="s">
        <v>57</v>
      </c>
    </row>
    <row r="28" spans="1:2" x14ac:dyDescent="0.25">
      <c r="A28" t="s">
        <v>213</v>
      </c>
      <c r="B28" t="s">
        <v>57</v>
      </c>
    </row>
    <row r="29" spans="1:2" x14ac:dyDescent="0.25">
      <c r="A29" t="s">
        <v>216</v>
      </c>
      <c r="B29" t="s">
        <v>60</v>
      </c>
    </row>
    <row r="30" spans="1:2" x14ac:dyDescent="0.25">
      <c r="A30" t="s">
        <v>214</v>
      </c>
      <c r="B30" t="s">
        <v>60</v>
      </c>
    </row>
    <row r="31" spans="1:2" x14ac:dyDescent="0.25">
      <c r="A31" t="s">
        <v>215</v>
      </c>
      <c r="B31" t="s">
        <v>60</v>
      </c>
    </row>
    <row r="32" spans="1:2" x14ac:dyDescent="0.25">
      <c r="A32" t="s">
        <v>217</v>
      </c>
      <c r="B32" t="s">
        <v>60</v>
      </c>
    </row>
    <row r="33" spans="1:2" x14ac:dyDescent="0.25">
      <c r="A33" t="s">
        <v>218</v>
      </c>
      <c r="B33" t="s">
        <v>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7E069-CC6B-45A5-9090-F1817DD2995A}">
  <sheetPr codeName="Sheet8"/>
  <dimension ref="A1:F243"/>
  <sheetViews>
    <sheetView tabSelected="1" topLeftCell="A104" workbookViewId="0">
      <selection activeCell="H113" sqref="H113"/>
    </sheetView>
  </sheetViews>
  <sheetFormatPr defaultRowHeight="15" x14ac:dyDescent="0.25"/>
  <cols>
    <col min="1" max="1" width="13.42578125" customWidth="1"/>
    <col min="2" max="2" width="11.28515625" bestFit="1" customWidth="1"/>
  </cols>
  <sheetData>
    <row r="1" spans="1:6" x14ac:dyDescent="0.25">
      <c r="A1" s="12" t="s">
        <v>241</v>
      </c>
      <c r="B1" s="12" t="s">
        <v>242</v>
      </c>
      <c r="C1" s="12" t="s">
        <v>243</v>
      </c>
      <c r="D1" s="12" t="s">
        <v>244</v>
      </c>
      <c r="E1" s="12" t="s">
        <v>245</v>
      </c>
      <c r="F1" s="12" t="s">
        <v>246</v>
      </c>
    </row>
    <row r="2" spans="1:6" x14ac:dyDescent="0.25">
      <c r="A2" t="s">
        <v>223</v>
      </c>
      <c r="B2" t="s">
        <v>247</v>
      </c>
      <c r="C2" t="s">
        <v>248</v>
      </c>
      <c r="D2" t="s">
        <v>249</v>
      </c>
      <c r="E2">
        <v>2</v>
      </c>
      <c r="F2">
        <v>0</v>
      </c>
    </row>
    <row r="3" spans="1:6" x14ac:dyDescent="0.25">
      <c r="A3" t="s">
        <v>223</v>
      </c>
      <c r="B3" t="s">
        <v>247</v>
      </c>
      <c r="C3" t="s">
        <v>248</v>
      </c>
      <c r="D3" t="s">
        <v>250</v>
      </c>
      <c r="E3">
        <v>2</v>
      </c>
      <c r="F3">
        <v>0</v>
      </c>
    </row>
    <row r="4" spans="1:6" x14ac:dyDescent="0.25">
      <c r="A4" t="s">
        <v>223</v>
      </c>
      <c r="B4" t="s">
        <v>253</v>
      </c>
      <c r="C4" t="s">
        <v>248</v>
      </c>
      <c r="D4" t="s">
        <v>249</v>
      </c>
      <c r="E4">
        <v>5</v>
      </c>
      <c r="F4">
        <v>0</v>
      </c>
    </row>
    <row r="5" spans="1:6" x14ac:dyDescent="0.25">
      <c r="A5" t="s">
        <v>223</v>
      </c>
      <c r="B5" t="s">
        <v>253</v>
      </c>
      <c r="C5" t="s">
        <v>248</v>
      </c>
      <c r="D5" t="s">
        <v>250</v>
      </c>
      <c r="E5">
        <v>5</v>
      </c>
      <c r="F5">
        <v>0</v>
      </c>
    </row>
    <row r="6" spans="1:6" x14ac:dyDescent="0.25">
      <c r="A6" t="s">
        <v>223</v>
      </c>
      <c r="B6" t="s">
        <v>253</v>
      </c>
      <c r="C6" t="s">
        <v>251</v>
      </c>
      <c r="D6" t="s">
        <v>249</v>
      </c>
      <c r="E6">
        <v>40</v>
      </c>
      <c r="F6">
        <v>0</v>
      </c>
    </row>
    <row r="7" spans="1:6" x14ac:dyDescent="0.25">
      <c r="A7" t="s">
        <v>223</v>
      </c>
      <c r="B7" t="s">
        <v>253</v>
      </c>
      <c r="C7" t="s">
        <v>251</v>
      </c>
      <c r="D7" t="s">
        <v>250</v>
      </c>
      <c r="E7">
        <v>20</v>
      </c>
      <c r="F7">
        <v>0</v>
      </c>
    </row>
    <row r="8" spans="1:6" x14ac:dyDescent="0.25">
      <c r="A8" t="s">
        <v>223</v>
      </c>
      <c r="B8" t="s">
        <v>253</v>
      </c>
      <c r="C8" t="s">
        <v>252</v>
      </c>
      <c r="D8" t="s">
        <v>249</v>
      </c>
      <c r="E8">
        <v>40</v>
      </c>
      <c r="F8">
        <v>0</v>
      </c>
    </row>
    <row r="9" spans="1:6" x14ac:dyDescent="0.25">
      <c r="A9" t="s">
        <v>223</v>
      </c>
      <c r="B9" t="s">
        <v>253</v>
      </c>
      <c r="C9" t="s">
        <v>252</v>
      </c>
      <c r="D9" t="s">
        <v>250</v>
      </c>
      <c r="E9">
        <v>20</v>
      </c>
      <c r="F9">
        <v>0</v>
      </c>
    </row>
    <row r="10" spans="1:6" x14ac:dyDescent="0.25">
      <c r="A10" t="s">
        <v>223</v>
      </c>
      <c r="B10" t="s">
        <v>253</v>
      </c>
      <c r="C10">
        <v>3</v>
      </c>
      <c r="D10" t="s">
        <v>249</v>
      </c>
      <c r="E10">
        <v>50</v>
      </c>
      <c r="F10">
        <v>3</v>
      </c>
    </row>
    <row r="11" spans="1:6" x14ac:dyDescent="0.25">
      <c r="A11" t="s">
        <v>223</v>
      </c>
      <c r="B11" t="s">
        <v>253</v>
      </c>
      <c r="C11">
        <v>3</v>
      </c>
      <c r="D11" t="s">
        <v>250</v>
      </c>
      <c r="E11">
        <v>25</v>
      </c>
      <c r="F11">
        <v>0</v>
      </c>
    </row>
    <row r="12" spans="1:6" x14ac:dyDescent="0.25">
      <c r="A12" t="s">
        <v>223</v>
      </c>
      <c r="B12" t="s">
        <v>253</v>
      </c>
      <c r="C12">
        <v>2</v>
      </c>
      <c r="D12" t="s">
        <v>249</v>
      </c>
      <c r="E12">
        <v>60</v>
      </c>
      <c r="F12">
        <v>0</v>
      </c>
    </row>
    <row r="13" spans="1:6" x14ac:dyDescent="0.25">
      <c r="A13" t="s">
        <v>223</v>
      </c>
      <c r="B13" t="s">
        <v>253</v>
      </c>
      <c r="C13">
        <v>2</v>
      </c>
      <c r="D13" t="s">
        <v>250</v>
      </c>
      <c r="E13">
        <v>30</v>
      </c>
      <c r="F13">
        <v>0</v>
      </c>
    </row>
    <row r="14" spans="1:6" x14ac:dyDescent="0.25">
      <c r="A14" t="s">
        <v>223</v>
      </c>
      <c r="B14" t="s">
        <v>253</v>
      </c>
      <c r="C14">
        <v>1</v>
      </c>
      <c r="D14" t="s">
        <v>249</v>
      </c>
      <c r="E14">
        <v>70</v>
      </c>
      <c r="F14">
        <v>0</v>
      </c>
    </row>
    <row r="15" spans="1:6" x14ac:dyDescent="0.25">
      <c r="A15" t="s">
        <v>223</v>
      </c>
      <c r="B15" t="s">
        <v>253</v>
      </c>
      <c r="C15">
        <v>1</v>
      </c>
      <c r="D15" t="s">
        <v>250</v>
      </c>
      <c r="E15">
        <v>35</v>
      </c>
      <c r="F15">
        <v>0</v>
      </c>
    </row>
    <row r="16" spans="1:6" x14ac:dyDescent="0.25">
      <c r="A16" t="s">
        <v>223</v>
      </c>
      <c r="B16" t="s">
        <v>255</v>
      </c>
      <c r="C16" t="s">
        <v>248</v>
      </c>
      <c r="D16" t="s">
        <v>249</v>
      </c>
      <c r="E16">
        <v>20</v>
      </c>
      <c r="F16">
        <v>0</v>
      </c>
    </row>
    <row r="17" spans="1:6" x14ac:dyDescent="0.25">
      <c r="A17" t="s">
        <v>223</v>
      </c>
      <c r="B17" t="s">
        <v>255</v>
      </c>
      <c r="C17" t="s">
        <v>248</v>
      </c>
      <c r="D17" t="s">
        <v>250</v>
      </c>
      <c r="E17">
        <v>20</v>
      </c>
      <c r="F17">
        <v>0</v>
      </c>
    </row>
    <row r="18" spans="1:6" x14ac:dyDescent="0.25">
      <c r="A18" t="s">
        <v>223</v>
      </c>
      <c r="B18" t="s">
        <v>255</v>
      </c>
      <c r="C18" t="s">
        <v>251</v>
      </c>
      <c r="D18" t="s">
        <v>249</v>
      </c>
      <c r="E18">
        <v>60</v>
      </c>
      <c r="F18">
        <v>0</v>
      </c>
    </row>
    <row r="19" spans="1:6" x14ac:dyDescent="0.25">
      <c r="A19" t="s">
        <v>223</v>
      </c>
      <c r="B19" t="s">
        <v>255</v>
      </c>
      <c r="C19" t="s">
        <v>251</v>
      </c>
      <c r="D19" t="s">
        <v>250</v>
      </c>
      <c r="E19">
        <v>30</v>
      </c>
      <c r="F19">
        <v>0</v>
      </c>
    </row>
    <row r="20" spans="1:6" x14ac:dyDescent="0.25">
      <c r="A20" t="s">
        <v>223</v>
      </c>
      <c r="B20" t="s">
        <v>255</v>
      </c>
      <c r="C20" t="s">
        <v>252</v>
      </c>
      <c r="D20" t="s">
        <v>249</v>
      </c>
      <c r="E20">
        <v>60</v>
      </c>
      <c r="F20">
        <v>0</v>
      </c>
    </row>
    <row r="21" spans="1:6" x14ac:dyDescent="0.25">
      <c r="A21" t="s">
        <v>223</v>
      </c>
      <c r="B21" t="s">
        <v>255</v>
      </c>
      <c r="C21" t="s">
        <v>252</v>
      </c>
      <c r="D21" t="s">
        <v>250</v>
      </c>
      <c r="E21">
        <v>30</v>
      </c>
      <c r="F21">
        <v>0</v>
      </c>
    </row>
    <row r="22" spans="1:6" x14ac:dyDescent="0.25">
      <c r="A22" t="s">
        <v>223</v>
      </c>
      <c r="B22" t="s">
        <v>255</v>
      </c>
      <c r="C22">
        <v>3</v>
      </c>
      <c r="D22" t="s">
        <v>249</v>
      </c>
      <c r="E22">
        <v>80</v>
      </c>
      <c r="F22">
        <v>0</v>
      </c>
    </row>
    <row r="23" spans="1:6" x14ac:dyDescent="0.25">
      <c r="A23" t="s">
        <v>223</v>
      </c>
      <c r="B23" t="s">
        <v>255</v>
      </c>
      <c r="C23">
        <v>3</v>
      </c>
      <c r="D23" t="s">
        <v>250</v>
      </c>
      <c r="E23">
        <v>40</v>
      </c>
      <c r="F23">
        <v>0</v>
      </c>
    </row>
    <row r="24" spans="1:6" x14ac:dyDescent="0.25">
      <c r="A24" t="s">
        <v>223</v>
      </c>
      <c r="B24" t="s">
        <v>255</v>
      </c>
      <c r="C24">
        <v>2</v>
      </c>
      <c r="D24" t="s">
        <v>249</v>
      </c>
      <c r="E24">
        <v>90</v>
      </c>
      <c r="F24">
        <v>0</v>
      </c>
    </row>
    <row r="25" spans="1:6" x14ac:dyDescent="0.25">
      <c r="A25" t="s">
        <v>223</v>
      </c>
      <c r="B25" t="s">
        <v>255</v>
      </c>
      <c r="C25">
        <v>2</v>
      </c>
      <c r="D25" t="s">
        <v>250</v>
      </c>
      <c r="E25">
        <v>45</v>
      </c>
      <c r="F25">
        <v>0</v>
      </c>
    </row>
    <row r="26" spans="1:6" x14ac:dyDescent="0.25">
      <c r="A26" t="s">
        <v>223</v>
      </c>
      <c r="B26" t="s">
        <v>255</v>
      </c>
      <c r="C26">
        <v>1</v>
      </c>
      <c r="D26" t="s">
        <v>249</v>
      </c>
      <c r="E26">
        <v>110</v>
      </c>
      <c r="F26">
        <v>0</v>
      </c>
    </row>
    <row r="27" spans="1:6" x14ac:dyDescent="0.25">
      <c r="A27" t="s">
        <v>223</v>
      </c>
      <c r="B27" t="s">
        <v>255</v>
      </c>
      <c r="C27">
        <v>1</v>
      </c>
      <c r="D27" t="s">
        <v>250</v>
      </c>
      <c r="E27">
        <v>55</v>
      </c>
      <c r="F27">
        <v>0</v>
      </c>
    </row>
    <row r="28" spans="1:6" x14ac:dyDescent="0.25">
      <c r="A28" t="s">
        <v>223</v>
      </c>
      <c r="B28" t="s">
        <v>256</v>
      </c>
      <c r="C28" t="s">
        <v>248</v>
      </c>
      <c r="D28" t="s">
        <v>249</v>
      </c>
      <c r="E28">
        <v>40</v>
      </c>
      <c r="F28">
        <v>0</v>
      </c>
    </row>
    <row r="29" spans="1:6" x14ac:dyDescent="0.25">
      <c r="A29" t="s">
        <v>223</v>
      </c>
      <c r="B29" t="s">
        <v>256</v>
      </c>
      <c r="C29" t="s">
        <v>248</v>
      </c>
      <c r="D29" t="s">
        <v>250</v>
      </c>
      <c r="E29">
        <v>40</v>
      </c>
      <c r="F29">
        <v>0</v>
      </c>
    </row>
    <row r="30" spans="1:6" x14ac:dyDescent="0.25">
      <c r="A30" t="s">
        <v>223</v>
      </c>
      <c r="B30" t="s">
        <v>256</v>
      </c>
      <c r="C30" t="s">
        <v>251</v>
      </c>
      <c r="D30" t="s">
        <v>249</v>
      </c>
      <c r="E30">
        <v>100</v>
      </c>
      <c r="F30">
        <v>0</v>
      </c>
    </row>
    <row r="31" spans="1:6" x14ac:dyDescent="0.25">
      <c r="A31" t="s">
        <v>223</v>
      </c>
      <c r="B31" t="s">
        <v>256</v>
      </c>
      <c r="C31" t="s">
        <v>251</v>
      </c>
      <c r="D31" t="s">
        <v>250</v>
      </c>
      <c r="E31">
        <v>50</v>
      </c>
      <c r="F31">
        <v>0</v>
      </c>
    </row>
    <row r="32" spans="1:6" x14ac:dyDescent="0.25">
      <c r="A32" t="s">
        <v>223</v>
      </c>
      <c r="B32" t="s">
        <v>256</v>
      </c>
      <c r="C32" t="s">
        <v>252</v>
      </c>
      <c r="D32" t="s">
        <v>249</v>
      </c>
      <c r="E32">
        <v>100</v>
      </c>
      <c r="F32">
        <v>0</v>
      </c>
    </row>
    <row r="33" spans="1:6" x14ac:dyDescent="0.25">
      <c r="A33" t="s">
        <v>223</v>
      </c>
      <c r="B33" t="s">
        <v>256</v>
      </c>
      <c r="C33" t="s">
        <v>252</v>
      </c>
      <c r="D33" t="s">
        <v>250</v>
      </c>
      <c r="E33">
        <v>50</v>
      </c>
      <c r="F33">
        <v>0</v>
      </c>
    </row>
    <row r="34" spans="1:6" x14ac:dyDescent="0.25">
      <c r="A34" t="s">
        <v>223</v>
      </c>
      <c r="B34" t="s">
        <v>256</v>
      </c>
      <c r="C34">
        <v>3</v>
      </c>
      <c r="D34" t="s">
        <v>249</v>
      </c>
      <c r="E34">
        <v>140</v>
      </c>
      <c r="F34">
        <v>0</v>
      </c>
    </row>
    <row r="35" spans="1:6" x14ac:dyDescent="0.25">
      <c r="A35" t="s">
        <v>223</v>
      </c>
      <c r="B35" t="s">
        <v>256</v>
      </c>
      <c r="C35">
        <v>3</v>
      </c>
      <c r="D35" t="s">
        <v>250</v>
      </c>
      <c r="E35">
        <v>70</v>
      </c>
      <c r="F35">
        <v>0</v>
      </c>
    </row>
    <row r="36" spans="1:6" x14ac:dyDescent="0.25">
      <c r="A36" t="s">
        <v>223</v>
      </c>
      <c r="B36" t="s">
        <v>256</v>
      </c>
      <c r="C36">
        <v>2</v>
      </c>
      <c r="D36" t="s">
        <v>249</v>
      </c>
      <c r="E36">
        <v>180</v>
      </c>
      <c r="F36">
        <v>0</v>
      </c>
    </row>
    <row r="37" spans="1:6" x14ac:dyDescent="0.25">
      <c r="A37" t="s">
        <v>223</v>
      </c>
      <c r="B37" t="s">
        <v>256</v>
      </c>
      <c r="C37">
        <v>2</v>
      </c>
      <c r="D37" t="s">
        <v>250</v>
      </c>
      <c r="E37">
        <v>90</v>
      </c>
      <c r="F37">
        <v>0</v>
      </c>
    </row>
    <row r="38" spans="1:6" x14ac:dyDescent="0.25">
      <c r="A38" t="s">
        <v>223</v>
      </c>
      <c r="B38" t="s">
        <v>256</v>
      </c>
      <c r="C38">
        <v>1</v>
      </c>
      <c r="D38" t="s">
        <v>249</v>
      </c>
      <c r="E38">
        <v>220</v>
      </c>
      <c r="F38">
        <v>0</v>
      </c>
    </row>
    <row r="39" spans="1:6" x14ac:dyDescent="0.25">
      <c r="A39" t="s">
        <v>223</v>
      </c>
      <c r="B39" t="s">
        <v>256</v>
      </c>
      <c r="C39">
        <v>1</v>
      </c>
      <c r="D39" t="s">
        <v>250</v>
      </c>
      <c r="E39">
        <v>110</v>
      </c>
      <c r="F39">
        <v>0</v>
      </c>
    </row>
    <row r="40" spans="1:6" x14ac:dyDescent="0.25">
      <c r="A40" t="s">
        <v>257</v>
      </c>
      <c r="B40" t="s">
        <v>347</v>
      </c>
      <c r="C40" t="s">
        <v>248</v>
      </c>
      <c r="D40" t="s">
        <v>249</v>
      </c>
      <c r="E40">
        <v>1</v>
      </c>
      <c r="F40">
        <v>0</v>
      </c>
    </row>
    <row r="41" spans="1:6" x14ac:dyDescent="0.25">
      <c r="A41" t="s">
        <v>257</v>
      </c>
      <c r="B41" t="s">
        <v>347</v>
      </c>
      <c r="C41" t="s">
        <v>248</v>
      </c>
      <c r="D41" t="s">
        <v>250</v>
      </c>
      <c r="E41">
        <v>1</v>
      </c>
      <c r="F41">
        <v>0</v>
      </c>
    </row>
    <row r="42" spans="1:6" x14ac:dyDescent="0.25">
      <c r="A42" t="s">
        <v>257</v>
      </c>
      <c r="B42" t="s">
        <v>347</v>
      </c>
      <c r="C42" t="s">
        <v>251</v>
      </c>
      <c r="D42" t="s">
        <v>249</v>
      </c>
      <c r="E42">
        <v>1</v>
      </c>
      <c r="F42">
        <v>0</v>
      </c>
    </row>
    <row r="43" spans="1:6" x14ac:dyDescent="0.25">
      <c r="A43" t="s">
        <v>257</v>
      </c>
      <c r="B43" t="s">
        <v>347</v>
      </c>
      <c r="C43" t="s">
        <v>251</v>
      </c>
      <c r="D43" t="s">
        <v>250</v>
      </c>
      <c r="E43">
        <v>0.5</v>
      </c>
      <c r="F43">
        <v>0</v>
      </c>
    </row>
    <row r="44" spans="1:6" x14ac:dyDescent="0.25">
      <c r="A44" t="s">
        <v>257</v>
      </c>
      <c r="B44" t="s">
        <v>347</v>
      </c>
      <c r="C44" t="s">
        <v>252</v>
      </c>
      <c r="D44" t="s">
        <v>249</v>
      </c>
      <c r="E44">
        <v>1</v>
      </c>
      <c r="F44">
        <v>0</v>
      </c>
    </row>
    <row r="45" spans="1:6" x14ac:dyDescent="0.25">
      <c r="A45" t="s">
        <v>257</v>
      </c>
      <c r="B45" t="s">
        <v>347</v>
      </c>
      <c r="C45" t="s">
        <v>252</v>
      </c>
      <c r="D45" t="s">
        <v>250</v>
      </c>
      <c r="E45">
        <v>0.5</v>
      </c>
      <c r="F45">
        <v>0</v>
      </c>
    </row>
    <row r="46" spans="1:6" x14ac:dyDescent="0.25">
      <c r="A46" t="s">
        <v>257</v>
      </c>
      <c r="B46" t="s">
        <v>347</v>
      </c>
      <c r="C46">
        <v>3</v>
      </c>
      <c r="D46" t="s">
        <v>249</v>
      </c>
      <c r="E46">
        <v>2</v>
      </c>
      <c r="F46">
        <v>0</v>
      </c>
    </row>
    <row r="47" spans="1:6" x14ac:dyDescent="0.25">
      <c r="A47" t="s">
        <v>257</v>
      </c>
      <c r="B47" t="s">
        <v>347</v>
      </c>
      <c r="C47">
        <v>3</v>
      </c>
      <c r="D47" t="s">
        <v>250</v>
      </c>
      <c r="E47">
        <v>1</v>
      </c>
      <c r="F47">
        <v>0</v>
      </c>
    </row>
    <row r="48" spans="1:6" x14ac:dyDescent="0.25">
      <c r="A48" t="s">
        <v>257</v>
      </c>
      <c r="B48" t="s">
        <v>347</v>
      </c>
      <c r="C48">
        <v>2</v>
      </c>
      <c r="D48" t="s">
        <v>249</v>
      </c>
      <c r="E48">
        <v>3</v>
      </c>
      <c r="F48">
        <v>0</v>
      </c>
    </row>
    <row r="49" spans="1:6" x14ac:dyDescent="0.25">
      <c r="A49" t="s">
        <v>257</v>
      </c>
      <c r="B49" t="s">
        <v>347</v>
      </c>
      <c r="C49">
        <v>2</v>
      </c>
      <c r="D49" t="s">
        <v>250</v>
      </c>
      <c r="E49">
        <v>1.5</v>
      </c>
      <c r="F49">
        <v>0</v>
      </c>
    </row>
    <row r="50" spans="1:6" x14ac:dyDescent="0.25">
      <c r="A50" t="s">
        <v>257</v>
      </c>
      <c r="B50" t="s">
        <v>347</v>
      </c>
      <c r="C50">
        <v>1</v>
      </c>
      <c r="D50" t="s">
        <v>249</v>
      </c>
      <c r="E50">
        <v>4</v>
      </c>
      <c r="F50">
        <v>0</v>
      </c>
    </row>
    <row r="51" spans="1:6" x14ac:dyDescent="0.25">
      <c r="A51" t="s">
        <v>257</v>
      </c>
      <c r="B51" t="s">
        <v>347</v>
      </c>
      <c r="C51">
        <v>1</v>
      </c>
      <c r="D51" t="s">
        <v>250</v>
      </c>
      <c r="E51">
        <v>2</v>
      </c>
      <c r="F51">
        <v>0</v>
      </c>
    </row>
    <row r="52" spans="1:6" x14ac:dyDescent="0.25">
      <c r="A52" t="s">
        <v>257</v>
      </c>
      <c r="B52" t="s">
        <v>247</v>
      </c>
      <c r="C52" t="s">
        <v>248</v>
      </c>
      <c r="D52" t="s">
        <v>249</v>
      </c>
      <c r="E52">
        <v>2</v>
      </c>
      <c r="F52">
        <v>0</v>
      </c>
    </row>
    <row r="53" spans="1:6" x14ac:dyDescent="0.25">
      <c r="A53" t="s">
        <v>257</v>
      </c>
      <c r="B53" t="s">
        <v>247</v>
      </c>
      <c r="C53" t="s">
        <v>248</v>
      </c>
      <c r="D53" t="s">
        <v>250</v>
      </c>
      <c r="E53">
        <v>2</v>
      </c>
      <c r="F53">
        <v>0</v>
      </c>
    </row>
    <row r="54" spans="1:6" x14ac:dyDescent="0.25">
      <c r="A54" t="s">
        <v>257</v>
      </c>
      <c r="B54" t="s">
        <v>247</v>
      </c>
      <c r="C54" t="s">
        <v>251</v>
      </c>
      <c r="D54" t="s">
        <v>249</v>
      </c>
      <c r="E54">
        <v>7</v>
      </c>
      <c r="F54">
        <v>0</v>
      </c>
    </row>
    <row r="55" spans="1:6" x14ac:dyDescent="0.25">
      <c r="A55" t="s">
        <v>257</v>
      </c>
      <c r="B55" t="s">
        <v>247</v>
      </c>
      <c r="C55" t="s">
        <v>251</v>
      </c>
      <c r="D55" t="s">
        <v>250</v>
      </c>
      <c r="E55">
        <v>3.5</v>
      </c>
      <c r="F55">
        <v>0</v>
      </c>
    </row>
    <row r="56" spans="1:6" x14ac:dyDescent="0.25">
      <c r="A56" t="s">
        <v>257</v>
      </c>
      <c r="B56" t="s">
        <v>247</v>
      </c>
      <c r="C56" t="s">
        <v>252</v>
      </c>
      <c r="D56" t="s">
        <v>249</v>
      </c>
      <c r="E56">
        <v>7</v>
      </c>
      <c r="F56">
        <v>0</v>
      </c>
    </row>
    <row r="57" spans="1:6" x14ac:dyDescent="0.25">
      <c r="A57" t="s">
        <v>257</v>
      </c>
      <c r="B57" t="s">
        <v>247</v>
      </c>
      <c r="C57" t="s">
        <v>252</v>
      </c>
      <c r="D57" t="s">
        <v>250</v>
      </c>
      <c r="E57">
        <v>3.5</v>
      </c>
      <c r="F57">
        <v>0</v>
      </c>
    </row>
    <row r="58" spans="1:6" x14ac:dyDescent="0.25">
      <c r="A58" t="s">
        <v>257</v>
      </c>
      <c r="B58" t="s">
        <v>247</v>
      </c>
      <c r="C58">
        <v>3</v>
      </c>
      <c r="D58" t="s">
        <v>249</v>
      </c>
      <c r="E58">
        <v>8</v>
      </c>
      <c r="F58">
        <v>0</v>
      </c>
    </row>
    <row r="59" spans="1:6" x14ac:dyDescent="0.25">
      <c r="A59" t="s">
        <v>257</v>
      </c>
      <c r="B59" t="s">
        <v>247</v>
      </c>
      <c r="C59">
        <v>3</v>
      </c>
      <c r="D59" t="s">
        <v>250</v>
      </c>
      <c r="E59">
        <v>4</v>
      </c>
      <c r="F59">
        <v>0</v>
      </c>
    </row>
    <row r="60" spans="1:6" x14ac:dyDescent="0.25">
      <c r="A60" t="s">
        <v>257</v>
      </c>
      <c r="B60" t="s">
        <v>247</v>
      </c>
      <c r="C60">
        <v>2</v>
      </c>
      <c r="D60" t="s">
        <v>249</v>
      </c>
      <c r="E60">
        <v>9</v>
      </c>
      <c r="F60">
        <v>0</v>
      </c>
    </row>
    <row r="61" spans="1:6" x14ac:dyDescent="0.25">
      <c r="A61" t="s">
        <v>257</v>
      </c>
      <c r="B61" t="s">
        <v>247</v>
      </c>
      <c r="C61">
        <v>2</v>
      </c>
      <c r="D61" t="s">
        <v>250</v>
      </c>
      <c r="E61">
        <v>4.5</v>
      </c>
      <c r="F61">
        <v>0</v>
      </c>
    </row>
    <row r="62" spans="1:6" x14ac:dyDescent="0.25">
      <c r="A62" t="s">
        <v>257</v>
      </c>
      <c r="B62" t="s">
        <v>247</v>
      </c>
      <c r="C62">
        <v>1</v>
      </c>
      <c r="D62" t="s">
        <v>249</v>
      </c>
      <c r="E62">
        <v>10</v>
      </c>
      <c r="F62">
        <v>0</v>
      </c>
    </row>
    <row r="63" spans="1:6" x14ac:dyDescent="0.25">
      <c r="A63" t="s">
        <v>257</v>
      </c>
      <c r="B63" t="s">
        <v>247</v>
      </c>
      <c r="C63">
        <v>1</v>
      </c>
      <c r="D63" t="s">
        <v>250</v>
      </c>
      <c r="E63">
        <v>5</v>
      </c>
      <c r="F63">
        <v>0</v>
      </c>
    </row>
    <row r="64" spans="1:6" x14ac:dyDescent="0.25">
      <c r="A64" t="s">
        <v>257</v>
      </c>
      <c r="B64" t="s">
        <v>253</v>
      </c>
      <c r="C64" t="s">
        <v>248</v>
      </c>
      <c r="D64" t="s">
        <v>249</v>
      </c>
      <c r="E64">
        <v>3</v>
      </c>
      <c r="F64">
        <v>0</v>
      </c>
    </row>
    <row r="65" spans="1:6" x14ac:dyDescent="0.25">
      <c r="A65" t="s">
        <v>257</v>
      </c>
      <c r="B65" t="s">
        <v>253</v>
      </c>
      <c r="C65" t="s">
        <v>248</v>
      </c>
      <c r="D65" t="s">
        <v>250</v>
      </c>
      <c r="E65">
        <v>3</v>
      </c>
      <c r="F65">
        <v>0</v>
      </c>
    </row>
    <row r="66" spans="1:6" x14ac:dyDescent="0.25">
      <c r="A66" t="s">
        <v>257</v>
      </c>
      <c r="B66" t="s">
        <v>253</v>
      </c>
      <c r="C66" t="s">
        <v>251</v>
      </c>
      <c r="D66" t="s">
        <v>249</v>
      </c>
      <c r="E66">
        <v>10</v>
      </c>
      <c r="F66">
        <v>0</v>
      </c>
    </row>
    <row r="67" spans="1:6" x14ac:dyDescent="0.25">
      <c r="A67" t="s">
        <v>257</v>
      </c>
      <c r="B67" t="s">
        <v>253</v>
      </c>
      <c r="C67" t="s">
        <v>251</v>
      </c>
      <c r="D67" t="s">
        <v>250</v>
      </c>
      <c r="E67">
        <v>5</v>
      </c>
      <c r="F67">
        <v>0</v>
      </c>
    </row>
    <row r="68" spans="1:6" x14ac:dyDescent="0.25">
      <c r="A68" t="s">
        <v>257</v>
      </c>
      <c r="B68" t="s">
        <v>253</v>
      </c>
      <c r="C68" t="s">
        <v>252</v>
      </c>
      <c r="D68" t="s">
        <v>249</v>
      </c>
      <c r="E68">
        <v>10</v>
      </c>
      <c r="F68">
        <v>0</v>
      </c>
    </row>
    <row r="69" spans="1:6" x14ac:dyDescent="0.25">
      <c r="A69" t="s">
        <v>257</v>
      </c>
      <c r="B69" t="s">
        <v>253</v>
      </c>
      <c r="C69" t="s">
        <v>252</v>
      </c>
      <c r="D69" t="s">
        <v>250</v>
      </c>
      <c r="E69">
        <v>5</v>
      </c>
      <c r="F69">
        <v>0</v>
      </c>
    </row>
    <row r="70" spans="1:6" x14ac:dyDescent="0.25">
      <c r="A70" t="s">
        <v>257</v>
      </c>
      <c r="B70" t="s">
        <v>253</v>
      </c>
      <c r="C70">
        <v>3</v>
      </c>
      <c r="D70" t="s">
        <v>249</v>
      </c>
      <c r="E70">
        <v>30</v>
      </c>
      <c r="F70">
        <v>0</v>
      </c>
    </row>
    <row r="71" spans="1:6" x14ac:dyDescent="0.25">
      <c r="A71" t="s">
        <v>257</v>
      </c>
      <c r="B71" t="s">
        <v>253</v>
      </c>
      <c r="C71">
        <v>3</v>
      </c>
      <c r="D71" t="s">
        <v>250</v>
      </c>
      <c r="E71">
        <v>15</v>
      </c>
      <c r="F71">
        <v>0</v>
      </c>
    </row>
    <row r="72" spans="1:6" x14ac:dyDescent="0.25">
      <c r="A72" t="s">
        <v>257</v>
      </c>
      <c r="B72" t="s">
        <v>253</v>
      </c>
      <c r="C72">
        <v>2</v>
      </c>
      <c r="D72" t="s">
        <v>249</v>
      </c>
      <c r="E72">
        <v>40</v>
      </c>
      <c r="F72">
        <v>0</v>
      </c>
    </row>
    <row r="73" spans="1:6" x14ac:dyDescent="0.25">
      <c r="A73" t="s">
        <v>257</v>
      </c>
      <c r="B73" t="s">
        <v>253</v>
      </c>
      <c r="C73">
        <v>2</v>
      </c>
      <c r="D73" t="s">
        <v>250</v>
      </c>
      <c r="E73">
        <v>20</v>
      </c>
      <c r="F73">
        <v>0</v>
      </c>
    </row>
    <row r="74" spans="1:6" x14ac:dyDescent="0.25">
      <c r="A74" t="s">
        <v>257</v>
      </c>
      <c r="B74" t="s">
        <v>253</v>
      </c>
      <c r="C74">
        <v>1</v>
      </c>
      <c r="D74" t="s">
        <v>249</v>
      </c>
      <c r="E74">
        <v>50</v>
      </c>
      <c r="F74">
        <v>0</v>
      </c>
    </row>
    <row r="75" spans="1:6" x14ac:dyDescent="0.25">
      <c r="A75" t="s">
        <v>257</v>
      </c>
      <c r="B75" t="s">
        <v>253</v>
      </c>
      <c r="C75">
        <v>1</v>
      </c>
      <c r="D75" t="s">
        <v>250</v>
      </c>
      <c r="E75">
        <v>25</v>
      </c>
      <c r="F75">
        <v>0</v>
      </c>
    </row>
    <row r="76" spans="1:6" x14ac:dyDescent="0.25">
      <c r="A76" t="s">
        <v>257</v>
      </c>
      <c r="B76" t="s">
        <v>254</v>
      </c>
      <c r="C76" t="s">
        <v>248</v>
      </c>
      <c r="D76" t="s">
        <v>249</v>
      </c>
      <c r="E76">
        <v>0</v>
      </c>
      <c r="F76">
        <v>0</v>
      </c>
    </row>
    <row r="77" spans="1:6" x14ac:dyDescent="0.25">
      <c r="A77" t="s">
        <v>257</v>
      </c>
      <c r="B77" t="s">
        <v>254</v>
      </c>
      <c r="C77" t="s">
        <v>248</v>
      </c>
      <c r="D77" t="s">
        <v>250</v>
      </c>
      <c r="E77">
        <v>0</v>
      </c>
      <c r="F77">
        <v>0</v>
      </c>
    </row>
    <row r="78" spans="1:6" x14ac:dyDescent="0.25">
      <c r="A78" t="s">
        <v>257</v>
      </c>
      <c r="B78" t="s">
        <v>254</v>
      </c>
      <c r="C78" t="s">
        <v>251</v>
      </c>
      <c r="D78" t="s">
        <v>249</v>
      </c>
      <c r="E78">
        <v>0</v>
      </c>
      <c r="F78">
        <v>0</v>
      </c>
    </row>
    <row r="79" spans="1:6" x14ac:dyDescent="0.25">
      <c r="A79" t="s">
        <v>257</v>
      </c>
      <c r="B79" t="s">
        <v>254</v>
      </c>
      <c r="C79" t="s">
        <v>251</v>
      </c>
      <c r="D79" t="s">
        <v>250</v>
      </c>
      <c r="E79">
        <v>0</v>
      </c>
      <c r="F79">
        <v>0</v>
      </c>
    </row>
    <row r="80" spans="1:6" x14ac:dyDescent="0.25">
      <c r="A80" t="s">
        <v>257</v>
      </c>
      <c r="B80" t="s">
        <v>254</v>
      </c>
      <c r="C80" t="s">
        <v>252</v>
      </c>
      <c r="D80" t="s">
        <v>249</v>
      </c>
      <c r="E80">
        <v>0</v>
      </c>
      <c r="F80">
        <v>0</v>
      </c>
    </row>
    <row r="81" spans="1:6" x14ac:dyDescent="0.25">
      <c r="A81" t="s">
        <v>257</v>
      </c>
      <c r="B81" t="s">
        <v>254</v>
      </c>
      <c r="C81" t="s">
        <v>252</v>
      </c>
      <c r="D81" t="s">
        <v>250</v>
      </c>
      <c r="E81">
        <v>0</v>
      </c>
      <c r="F81">
        <v>0</v>
      </c>
    </row>
    <row r="82" spans="1:6" x14ac:dyDescent="0.25">
      <c r="A82" t="s">
        <v>257</v>
      </c>
      <c r="B82" t="s">
        <v>254</v>
      </c>
      <c r="C82">
        <v>3</v>
      </c>
      <c r="D82" t="s">
        <v>249</v>
      </c>
      <c r="E82">
        <v>0</v>
      </c>
      <c r="F82">
        <v>0</v>
      </c>
    </row>
    <row r="83" spans="1:6" x14ac:dyDescent="0.25">
      <c r="A83" t="s">
        <v>257</v>
      </c>
      <c r="B83" t="s">
        <v>254</v>
      </c>
      <c r="C83">
        <v>3</v>
      </c>
      <c r="D83" t="s">
        <v>250</v>
      </c>
      <c r="E83">
        <v>0</v>
      </c>
      <c r="F83">
        <v>0</v>
      </c>
    </row>
    <row r="84" spans="1:6" x14ac:dyDescent="0.25">
      <c r="A84" t="s">
        <v>257</v>
      </c>
      <c r="B84" t="s">
        <v>254</v>
      </c>
      <c r="C84">
        <v>2</v>
      </c>
      <c r="D84" t="s">
        <v>249</v>
      </c>
      <c r="E84">
        <v>0</v>
      </c>
      <c r="F84">
        <v>0</v>
      </c>
    </row>
    <row r="85" spans="1:6" x14ac:dyDescent="0.25">
      <c r="A85" t="s">
        <v>257</v>
      </c>
      <c r="B85" t="s">
        <v>254</v>
      </c>
      <c r="C85">
        <v>2</v>
      </c>
      <c r="D85" t="s">
        <v>250</v>
      </c>
      <c r="E85">
        <v>0</v>
      </c>
      <c r="F85">
        <v>0</v>
      </c>
    </row>
    <row r="86" spans="1:6" x14ac:dyDescent="0.25">
      <c r="A86" t="s">
        <v>257</v>
      </c>
      <c r="B86" t="s">
        <v>254</v>
      </c>
      <c r="C86">
        <v>1</v>
      </c>
      <c r="D86" t="s">
        <v>249</v>
      </c>
      <c r="E86">
        <v>0</v>
      </c>
      <c r="F86">
        <v>0</v>
      </c>
    </row>
    <row r="87" spans="1:6" x14ac:dyDescent="0.25">
      <c r="A87" t="s">
        <v>257</v>
      </c>
      <c r="B87" t="s">
        <v>254</v>
      </c>
      <c r="C87">
        <v>1</v>
      </c>
      <c r="D87" t="s">
        <v>250</v>
      </c>
      <c r="E87">
        <v>0</v>
      </c>
      <c r="F87">
        <v>0</v>
      </c>
    </row>
    <row r="88" spans="1:6" x14ac:dyDescent="0.25">
      <c r="A88" t="s">
        <v>257</v>
      </c>
      <c r="B88" t="s">
        <v>255</v>
      </c>
      <c r="C88" t="s">
        <v>248</v>
      </c>
      <c r="D88" t="s">
        <v>249</v>
      </c>
      <c r="E88">
        <v>5</v>
      </c>
      <c r="F88">
        <v>0</v>
      </c>
    </row>
    <row r="89" spans="1:6" x14ac:dyDescent="0.25">
      <c r="A89" t="s">
        <v>257</v>
      </c>
      <c r="B89" t="s">
        <v>255</v>
      </c>
      <c r="C89" t="s">
        <v>248</v>
      </c>
      <c r="D89" t="s">
        <v>250</v>
      </c>
      <c r="E89">
        <v>5</v>
      </c>
      <c r="F89">
        <v>0</v>
      </c>
    </row>
    <row r="90" spans="1:6" x14ac:dyDescent="0.25">
      <c r="A90" t="s">
        <v>257</v>
      </c>
      <c r="B90" t="s">
        <v>255</v>
      </c>
      <c r="C90" t="s">
        <v>251</v>
      </c>
      <c r="D90" t="s">
        <v>249</v>
      </c>
      <c r="E90">
        <v>30</v>
      </c>
      <c r="F90">
        <v>0</v>
      </c>
    </row>
    <row r="91" spans="1:6" x14ac:dyDescent="0.25">
      <c r="A91" t="s">
        <v>257</v>
      </c>
      <c r="B91" t="s">
        <v>255</v>
      </c>
      <c r="C91" t="s">
        <v>251</v>
      </c>
      <c r="D91" t="s">
        <v>250</v>
      </c>
      <c r="E91">
        <v>15</v>
      </c>
      <c r="F91">
        <v>0</v>
      </c>
    </row>
    <row r="92" spans="1:6" x14ac:dyDescent="0.25">
      <c r="A92" t="s">
        <v>257</v>
      </c>
      <c r="B92" t="s">
        <v>255</v>
      </c>
      <c r="C92" t="s">
        <v>252</v>
      </c>
      <c r="D92" t="s">
        <v>249</v>
      </c>
      <c r="E92">
        <v>30</v>
      </c>
      <c r="F92">
        <v>0</v>
      </c>
    </row>
    <row r="93" spans="1:6" x14ac:dyDescent="0.25">
      <c r="A93" t="s">
        <v>257</v>
      </c>
      <c r="B93" t="s">
        <v>255</v>
      </c>
      <c r="C93" t="s">
        <v>252</v>
      </c>
      <c r="D93" t="s">
        <v>250</v>
      </c>
      <c r="E93">
        <v>15</v>
      </c>
      <c r="F93">
        <v>0</v>
      </c>
    </row>
    <row r="94" spans="1:6" x14ac:dyDescent="0.25">
      <c r="A94" t="s">
        <v>257</v>
      </c>
      <c r="B94" t="s">
        <v>255</v>
      </c>
      <c r="C94">
        <v>3</v>
      </c>
      <c r="D94" t="s">
        <v>249</v>
      </c>
      <c r="E94">
        <v>50</v>
      </c>
      <c r="F94">
        <v>0</v>
      </c>
    </row>
    <row r="95" spans="1:6" x14ac:dyDescent="0.25">
      <c r="A95" t="s">
        <v>257</v>
      </c>
      <c r="B95" t="s">
        <v>255</v>
      </c>
      <c r="C95">
        <v>3</v>
      </c>
      <c r="D95" t="s">
        <v>250</v>
      </c>
      <c r="E95">
        <v>25</v>
      </c>
      <c r="F95">
        <v>0</v>
      </c>
    </row>
    <row r="96" spans="1:6" x14ac:dyDescent="0.25">
      <c r="A96" t="s">
        <v>257</v>
      </c>
      <c r="B96" t="s">
        <v>255</v>
      </c>
      <c r="C96">
        <v>2</v>
      </c>
      <c r="D96" t="s">
        <v>249</v>
      </c>
      <c r="E96">
        <v>60</v>
      </c>
      <c r="F96">
        <v>0</v>
      </c>
    </row>
    <row r="97" spans="1:6" x14ac:dyDescent="0.25">
      <c r="A97" t="s">
        <v>257</v>
      </c>
      <c r="B97" t="s">
        <v>255</v>
      </c>
      <c r="C97">
        <v>2</v>
      </c>
      <c r="D97" t="s">
        <v>250</v>
      </c>
      <c r="E97">
        <v>30</v>
      </c>
      <c r="F97">
        <v>0</v>
      </c>
    </row>
    <row r="98" spans="1:6" x14ac:dyDescent="0.25">
      <c r="A98" t="s">
        <v>257</v>
      </c>
      <c r="B98" t="s">
        <v>255</v>
      </c>
      <c r="C98">
        <v>1</v>
      </c>
      <c r="D98" t="s">
        <v>249</v>
      </c>
      <c r="E98">
        <v>70</v>
      </c>
      <c r="F98">
        <v>0</v>
      </c>
    </row>
    <row r="99" spans="1:6" x14ac:dyDescent="0.25">
      <c r="A99" t="s">
        <v>257</v>
      </c>
      <c r="B99" t="s">
        <v>255</v>
      </c>
      <c r="C99">
        <v>1</v>
      </c>
      <c r="D99" t="s">
        <v>250</v>
      </c>
      <c r="E99">
        <v>35</v>
      </c>
      <c r="F99">
        <v>0</v>
      </c>
    </row>
    <row r="100" spans="1:6" x14ac:dyDescent="0.25">
      <c r="A100" t="s">
        <v>257</v>
      </c>
      <c r="B100" t="s">
        <v>256</v>
      </c>
      <c r="C100" t="s">
        <v>248</v>
      </c>
      <c r="D100" t="s">
        <v>249</v>
      </c>
      <c r="E100">
        <v>10</v>
      </c>
      <c r="F100">
        <v>0</v>
      </c>
    </row>
    <row r="101" spans="1:6" x14ac:dyDescent="0.25">
      <c r="A101" t="s">
        <v>257</v>
      </c>
      <c r="B101" t="s">
        <v>256</v>
      </c>
      <c r="C101" t="s">
        <v>248</v>
      </c>
      <c r="D101" t="s">
        <v>250</v>
      </c>
      <c r="E101">
        <v>10</v>
      </c>
      <c r="F101">
        <v>0</v>
      </c>
    </row>
    <row r="102" spans="1:6" x14ac:dyDescent="0.25">
      <c r="A102" t="s">
        <v>257</v>
      </c>
      <c r="B102" t="s">
        <v>256</v>
      </c>
      <c r="C102" t="s">
        <v>251</v>
      </c>
      <c r="D102" t="s">
        <v>249</v>
      </c>
      <c r="E102">
        <v>60</v>
      </c>
      <c r="F102">
        <v>0</v>
      </c>
    </row>
    <row r="103" spans="1:6" x14ac:dyDescent="0.25">
      <c r="A103" t="s">
        <v>257</v>
      </c>
      <c r="B103" t="s">
        <v>256</v>
      </c>
      <c r="C103" t="s">
        <v>251</v>
      </c>
      <c r="D103" t="s">
        <v>250</v>
      </c>
      <c r="E103">
        <v>30</v>
      </c>
      <c r="F103">
        <v>0</v>
      </c>
    </row>
    <row r="104" spans="1:6" x14ac:dyDescent="0.25">
      <c r="A104" t="s">
        <v>257</v>
      </c>
      <c r="B104" t="s">
        <v>256</v>
      </c>
      <c r="C104" t="s">
        <v>252</v>
      </c>
      <c r="D104" t="s">
        <v>249</v>
      </c>
      <c r="E104">
        <v>60</v>
      </c>
      <c r="F104">
        <v>0</v>
      </c>
    </row>
    <row r="105" spans="1:6" x14ac:dyDescent="0.25">
      <c r="A105" t="s">
        <v>257</v>
      </c>
      <c r="B105" t="s">
        <v>256</v>
      </c>
      <c r="C105" t="s">
        <v>252</v>
      </c>
      <c r="D105" t="s">
        <v>250</v>
      </c>
      <c r="E105">
        <v>30</v>
      </c>
      <c r="F105">
        <v>0</v>
      </c>
    </row>
    <row r="106" spans="1:6" x14ac:dyDescent="0.25">
      <c r="A106" t="s">
        <v>257</v>
      </c>
      <c r="B106" t="s">
        <v>256</v>
      </c>
      <c r="C106">
        <v>3</v>
      </c>
      <c r="D106" t="s">
        <v>249</v>
      </c>
      <c r="E106">
        <v>80</v>
      </c>
      <c r="F106">
        <v>0</v>
      </c>
    </row>
    <row r="107" spans="1:6" x14ac:dyDescent="0.25">
      <c r="A107" t="s">
        <v>257</v>
      </c>
      <c r="B107" t="s">
        <v>256</v>
      </c>
      <c r="C107">
        <v>3</v>
      </c>
      <c r="D107" t="s">
        <v>250</v>
      </c>
      <c r="E107">
        <v>40</v>
      </c>
      <c r="F107">
        <v>0</v>
      </c>
    </row>
    <row r="108" spans="1:6" x14ac:dyDescent="0.25">
      <c r="A108" t="s">
        <v>257</v>
      </c>
      <c r="B108" t="s">
        <v>256</v>
      </c>
      <c r="C108">
        <v>2</v>
      </c>
      <c r="D108" t="s">
        <v>249</v>
      </c>
      <c r="E108">
        <v>90</v>
      </c>
      <c r="F108">
        <v>0</v>
      </c>
    </row>
    <row r="109" spans="1:6" x14ac:dyDescent="0.25">
      <c r="A109" t="s">
        <v>257</v>
      </c>
      <c r="B109" t="s">
        <v>256</v>
      </c>
      <c r="C109">
        <v>2</v>
      </c>
      <c r="D109" t="s">
        <v>250</v>
      </c>
      <c r="E109">
        <v>45</v>
      </c>
      <c r="F109">
        <v>0</v>
      </c>
    </row>
    <row r="110" spans="1:6" x14ac:dyDescent="0.25">
      <c r="A110" t="s">
        <v>257</v>
      </c>
      <c r="B110" t="s">
        <v>256</v>
      </c>
      <c r="C110">
        <v>1</v>
      </c>
      <c r="D110" t="s">
        <v>249</v>
      </c>
      <c r="E110">
        <v>100</v>
      </c>
      <c r="F110">
        <v>0</v>
      </c>
    </row>
    <row r="111" spans="1:6" x14ac:dyDescent="0.25">
      <c r="A111" t="s">
        <v>257</v>
      </c>
      <c r="B111" t="s">
        <v>256</v>
      </c>
      <c r="C111">
        <v>1</v>
      </c>
      <c r="D111" t="s">
        <v>250</v>
      </c>
      <c r="E111">
        <v>50</v>
      </c>
      <c r="F111">
        <v>0</v>
      </c>
    </row>
    <row r="112" spans="1:6" x14ac:dyDescent="0.25">
      <c r="A112" t="s">
        <v>222</v>
      </c>
      <c r="B112" t="s">
        <v>347</v>
      </c>
      <c r="C112" t="s">
        <v>248</v>
      </c>
      <c r="D112" t="s">
        <v>249</v>
      </c>
      <c r="E112">
        <f t="shared" ref="E112:E176" si="0">1/4*E40</f>
        <v>0.25</v>
      </c>
      <c r="F112">
        <v>0</v>
      </c>
    </row>
    <row r="113" spans="1:6" x14ac:dyDescent="0.25">
      <c r="A113" t="s">
        <v>222</v>
      </c>
      <c r="B113" t="s">
        <v>347</v>
      </c>
      <c r="C113" t="s">
        <v>248</v>
      </c>
      <c r="D113" t="s">
        <v>250</v>
      </c>
      <c r="E113">
        <f t="shared" si="0"/>
        <v>0.25</v>
      </c>
      <c r="F113">
        <v>0</v>
      </c>
    </row>
    <row r="114" spans="1:6" x14ac:dyDescent="0.25">
      <c r="A114" t="s">
        <v>222</v>
      </c>
      <c r="B114" t="s">
        <v>347</v>
      </c>
      <c r="C114" t="s">
        <v>251</v>
      </c>
      <c r="D114" t="s">
        <v>249</v>
      </c>
      <c r="E114">
        <f t="shared" si="0"/>
        <v>0.25</v>
      </c>
      <c r="F114">
        <v>0</v>
      </c>
    </row>
    <row r="115" spans="1:6" x14ac:dyDescent="0.25">
      <c r="A115" t="s">
        <v>222</v>
      </c>
      <c r="B115" t="s">
        <v>347</v>
      </c>
      <c r="C115" t="s">
        <v>251</v>
      </c>
      <c r="D115" t="s">
        <v>250</v>
      </c>
      <c r="E115">
        <f t="shared" si="0"/>
        <v>0.125</v>
      </c>
      <c r="F115">
        <v>0</v>
      </c>
    </row>
    <row r="116" spans="1:6" x14ac:dyDescent="0.25">
      <c r="A116" t="s">
        <v>222</v>
      </c>
      <c r="B116" t="s">
        <v>347</v>
      </c>
      <c r="C116" t="s">
        <v>252</v>
      </c>
      <c r="D116" t="s">
        <v>249</v>
      </c>
      <c r="E116">
        <f t="shared" si="0"/>
        <v>0.25</v>
      </c>
      <c r="F116">
        <v>0</v>
      </c>
    </row>
    <row r="117" spans="1:6" x14ac:dyDescent="0.25">
      <c r="A117" t="s">
        <v>222</v>
      </c>
      <c r="B117" t="s">
        <v>347</v>
      </c>
      <c r="C117" t="s">
        <v>252</v>
      </c>
      <c r="D117" t="s">
        <v>250</v>
      </c>
      <c r="E117">
        <f t="shared" si="0"/>
        <v>0.125</v>
      </c>
      <c r="F117">
        <v>0</v>
      </c>
    </row>
    <row r="118" spans="1:6" x14ac:dyDescent="0.25">
      <c r="A118" t="s">
        <v>222</v>
      </c>
      <c r="B118" t="s">
        <v>347</v>
      </c>
      <c r="C118">
        <v>3</v>
      </c>
      <c r="D118" t="s">
        <v>249</v>
      </c>
      <c r="E118">
        <f t="shared" si="0"/>
        <v>0.5</v>
      </c>
      <c r="F118">
        <v>0</v>
      </c>
    </row>
    <row r="119" spans="1:6" x14ac:dyDescent="0.25">
      <c r="A119" t="s">
        <v>222</v>
      </c>
      <c r="B119" t="s">
        <v>347</v>
      </c>
      <c r="C119">
        <v>3</v>
      </c>
      <c r="D119" t="s">
        <v>250</v>
      </c>
      <c r="E119">
        <f t="shared" si="0"/>
        <v>0.25</v>
      </c>
      <c r="F119">
        <v>0</v>
      </c>
    </row>
    <row r="120" spans="1:6" x14ac:dyDescent="0.25">
      <c r="A120" t="s">
        <v>222</v>
      </c>
      <c r="B120" t="s">
        <v>347</v>
      </c>
      <c r="C120">
        <v>2</v>
      </c>
      <c r="D120" t="s">
        <v>249</v>
      </c>
      <c r="E120">
        <f t="shared" si="0"/>
        <v>0.75</v>
      </c>
      <c r="F120">
        <v>0</v>
      </c>
    </row>
    <row r="121" spans="1:6" x14ac:dyDescent="0.25">
      <c r="A121" t="s">
        <v>222</v>
      </c>
      <c r="B121" t="s">
        <v>347</v>
      </c>
      <c r="C121">
        <v>2</v>
      </c>
      <c r="D121" t="s">
        <v>250</v>
      </c>
      <c r="E121">
        <f t="shared" si="0"/>
        <v>0.375</v>
      </c>
      <c r="F121">
        <v>0</v>
      </c>
    </row>
    <row r="122" spans="1:6" x14ac:dyDescent="0.25">
      <c r="A122" t="s">
        <v>222</v>
      </c>
      <c r="B122" t="s">
        <v>347</v>
      </c>
      <c r="C122">
        <v>1</v>
      </c>
      <c r="D122" t="s">
        <v>249</v>
      </c>
      <c r="E122">
        <f t="shared" si="0"/>
        <v>1</v>
      </c>
      <c r="F122">
        <v>0</v>
      </c>
    </row>
    <row r="123" spans="1:6" x14ac:dyDescent="0.25">
      <c r="A123" t="s">
        <v>222</v>
      </c>
      <c r="B123" t="s">
        <v>347</v>
      </c>
      <c r="C123">
        <v>1</v>
      </c>
      <c r="D123" t="s">
        <v>250</v>
      </c>
      <c r="E123">
        <f t="shared" si="0"/>
        <v>0.5</v>
      </c>
      <c r="F123">
        <v>0</v>
      </c>
    </row>
    <row r="124" spans="1:6" x14ac:dyDescent="0.25">
      <c r="A124" t="s">
        <v>222</v>
      </c>
      <c r="B124" t="s">
        <v>247</v>
      </c>
      <c r="C124" t="s">
        <v>248</v>
      </c>
      <c r="D124" t="s">
        <v>249</v>
      </c>
      <c r="E124">
        <f t="shared" si="0"/>
        <v>0.5</v>
      </c>
      <c r="F124">
        <v>0</v>
      </c>
    </row>
    <row r="125" spans="1:6" x14ac:dyDescent="0.25">
      <c r="A125" t="s">
        <v>222</v>
      </c>
      <c r="B125" t="s">
        <v>247</v>
      </c>
      <c r="C125" t="s">
        <v>248</v>
      </c>
      <c r="D125" t="s">
        <v>250</v>
      </c>
      <c r="E125">
        <f t="shared" si="0"/>
        <v>0.5</v>
      </c>
      <c r="F125">
        <v>0</v>
      </c>
    </row>
    <row r="126" spans="1:6" x14ac:dyDescent="0.25">
      <c r="A126" t="s">
        <v>222</v>
      </c>
      <c r="B126" t="s">
        <v>247</v>
      </c>
      <c r="C126" t="s">
        <v>251</v>
      </c>
      <c r="D126" t="s">
        <v>249</v>
      </c>
      <c r="E126">
        <f t="shared" si="0"/>
        <v>1.75</v>
      </c>
      <c r="F126">
        <v>0</v>
      </c>
    </row>
    <row r="127" spans="1:6" x14ac:dyDescent="0.25">
      <c r="A127" t="s">
        <v>222</v>
      </c>
      <c r="B127" t="s">
        <v>247</v>
      </c>
      <c r="C127" t="s">
        <v>251</v>
      </c>
      <c r="D127" t="s">
        <v>250</v>
      </c>
      <c r="E127">
        <f t="shared" si="0"/>
        <v>0.875</v>
      </c>
      <c r="F127">
        <v>0</v>
      </c>
    </row>
    <row r="128" spans="1:6" x14ac:dyDescent="0.25">
      <c r="A128" t="s">
        <v>222</v>
      </c>
      <c r="B128" t="s">
        <v>247</v>
      </c>
      <c r="C128" t="s">
        <v>252</v>
      </c>
      <c r="D128" t="s">
        <v>249</v>
      </c>
      <c r="E128">
        <f t="shared" si="0"/>
        <v>1.75</v>
      </c>
      <c r="F128">
        <v>0</v>
      </c>
    </row>
    <row r="129" spans="1:6" x14ac:dyDescent="0.25">
      <c r="A129" t="s">
        <v>222</v>
      </c>
      <c r="B129" t="s">
        <v>247</v>
      </c>
      <c r="C129" t="s">
        <v>252</v>
      </c>
      <c r="D129" t="s">
        <v>250</v>
      </c>
      <c r="E129">
        <f t="shared" si="0"/>
        <v>0.875</v>
      </c>
      <c r="F129">
        <v>0</v>
      </c>
    </row>
    <row r="130" spans="1:6" x14ac:dyDescent="0.25">
      <c r="A130" t="s">
        <v>222</v>
      </c>
      <c r="B130" t="s">
        <v>247</v>
      </c>
      <c r="C130">
        <v>3</v>
      </c>
      <c r="D130" t="s">
        <v>249</v>
      </c>
      <c r="E130">
        <f t="shared" si="0"/>
        <v>2</v>
      </c>
      <c r="F130">
        <v>0</v>
      </c>
    </row>
    <row r="131" spans="1:6" x14ac:dyDescent="0.25">
      <c r="A131" t="s">
        <v>222</v>
      </c>
      <c r="B131" t="s">
        <v>247</v>
      </c>
      <c r="C131">
        <v>3</v>
      </c>
      <c r="D131" t="s">
        <v>250</v>
      </c>
      <c r="E131">
        <f t="shared" si="0"/>
        <v>1</v>
      </c>
      <c r="F131">
        <v>0</v>
      </c>
    </row>
    <row r="132" spans="1:6" x14ac:dyDescent="0.25">
      <c r="A132" t="s">
        <v>222</v>
      </c>
      <c r="B132" t="s">
        <v>247</v>
      </c>
      <c r="C132">
        <v>2</v>
      </c>
      <c r="D132" t="s">
        <v>249</v>
      </c>
      <c r="E132">
        <f t="shared" si="0"/>
        <v>2.25</v>
      </c>
      <c r="F132">
        <v>0</v>
      </c>
    </row>
    <row r="133" spans="1:6" x14ac:dyDescent="0.25">
      <c r="A133" t="s">
        <v>222</v>
      </c>
      <c r="B133" t="s">
        <v>247</v>
      </c>
      <c r="C133">
        <v>2</v>
      </c>
      <c r="D133" t="s">
        <v>250</v>
      </c>
      <c r="E133">
        <f t="shared" si="0"/>
        <v>1.125</v>
      </c>
      <c r="F133">
        <v>0</v>
      </c>
    </row>
    <row r="134" spans="1:6" x14ac:dyDescent="0.25">
      <c r="A134" t="s">
        <v>222</v>
      </c>
      <c r="B134" t="s">
        <v>247</v>
      </c>
      <c r="C134">
        <v>1</v>
      </c>
      <c r="D134" t="s">
        <v>249</v>
      </c>
      <c r="E134">
        <f t="shared" si="0"/>
        <v>2.5</v>
      </c>
      <c r="F134">
        <v>0</v>
      </c>
    </row>
    <row r="135" spans="1:6" x14ac:dyDescent="0.25">
      <c r="A135" t="s">
        <v>222</v>
      </c>
      <c r="B135" t="s">
        <v>247</v>
      </c>
      <c r="C135">
        <v>1</v>
      </c>
      <c r="D135" t="s">
        <v>250</v>
      </c>
      <c r="E135">
        <f t="shared" si="0"/>
        <v>1.25</v>
      </c>
      <c r="F135">
        <v>0</v>
      </c>
    </row>
    <row r="136" spans="1:6" x14ac:dyDescent="0.25">
      <c r="A136" t="s">
        <v>222</v>
      </c>
      <c r="B136" t="s">
        <v>253</v>
      </c>
      <c r="C136" t="s">
        <v>248</v>
      </c>
      <c r="D136" t="s">
        <v>249</v>
      </c>
      <c r="E136">
        <f t="shared" si="0"/>
        <v>0.75</v>
      </c>
      <c r="F136">
        <v>0</v>
      </c>
    </row>
    <row r="137" spans="1:6" x14ac:dyDescent="0.25">
      <c r="A137" t="s">
        <v>222</v>
      </c>
      <c r="B137" t="s">
        <v>253</v>
      </c>
      <c r="C137" t="s">
        <v>248</v>
      </c>
      <c r="D137" t="s">
        <v>250</v>
      </c>
      <c r="E137">
        <f t="shared" si="0"/>
        <v>0.75</v>
      </c>
      <c r="F137">
        <v>0</v>
      </c>
    </row>
    <row r="138" spans="1:6" x14ac:dyDescent="0.25">
      <c r="A138" t="s">
        <v>222</v>
      </c>
      <c r="B138" t="s">
        <v>253</v>
      </c>
      <c r="C138" t="s">
        <v>251</v>
      </c>
      <c r="D138" t="s">
        <v>249</v>
      </c>
      <c r="E138">
        <f t="shared" si="0"/>
        <v>2.5</v>
      </c>
      <c r="F138">
        <v>0</v>
      </c>
    </row>
    <row r="139" spans="1:6" x14ac:dyDescent="0.25">
      <c r="A139" t="s">
        <v>222</v>
      </c>
      <c r="B139" t="s">
        <v>253</v>
      </c>
      <c r="C139" t="s">
        <v>251</v>
      </c>
      <c r="D139" t="s">
        <v>250</v>
      </c>
      <c r="E139">
        <f t="shared" si="0"/>
        <v>1.25</v>
      </c>
      <c r="F139">
        <v>0</v>
      </c>
    </row>
    <row r="140" spans="1:6" x14ac:dyDescent="0.25">
      <c r="A140" t="s">
        <v>222</v>
      </c>
      <c r="B140" t="s">
        <v>253</v>
      </c>
      <c r="C140" t="s">
        <v>252</v>
      </c>
      <c r="D140" t="s">
        <v>249</v>
      </c>
      <c r="E140">
        <f t="shared" si="0"/>
        <v>2.5</v>
      </c>
      <c r="F140">
        <v>0</v>
      </c>
    </row>
    <row r="141" spans="1:6" x14ac:dyDescent="0.25">
      <c r="A141" t="s">
        <v>222</v>
      </c>
      <c r="B141" t="s">
        <v>253</v>
      </c>
      <c r="C141" t="s">
        <v>252</v>
      </c>
      <c r="D141" t="s">
        <v>250</v>
      </c>
      <c r="E141">
        <f t="shared" si="0"/>
        <v>1.25</v>
      </c>
      <c r="F141">
        <v>0</v>
      </c>
    </row>
    <row r="142" spans="1:6" x14ac:dyDescent="0.25">
      <c r="A142" t="s">
        <v>222</v>
      </c>
      <c r="B142" t="s">
        <v>253</v>
      </c>
      <c r="C142">
        <v>3</v>
      </c>
      <c r="D142" t="s">
        <v>249</v>
      </c>
      <c r="E142">
        <f t="shared" si="0"/>
        <v>7.5</v>
      </c>
      <c r="F142">
        <v>0</v>
      </c>
    </row>
    <row r="143" spans="1:6" x14ac:dyDescent="0.25">
      <c r="A143" t="s">
        <v>222</v>
      </c>
      <c r="B143" t="s">
        <v>253</v>
      </c>
      <c r="C143">
        <v>3</v>
      </c>
      <c r="D143" t="s">
        <v>250</v>
      </c>
      <c r="E143">
        <f t="shared" si="0"/>
        <v>3.75</v>
      </c>
      <c r="F143">
        <v>0</v>
      </c>
    </row>
    <row r="144" spans="1:6" x14ac:dyDescent="0.25">
      <c r="A144" t="s">
        <v>222</v>
      </c>
      <c r="B144" t="s">
        <v>253</v>
      </c>
      <c r="C144">
        <v>2</v>
      </c>
      <c r="D144" t="s">
        <v>249</v>
      </c>
      <c r="E144">
        <f t="shared" si="0"/>
        <v>10</v>
      </c>
      <c r="F144">
        <v>0</v>
      </c>
    </row>
    <row r="145" spans="1:6" x14ac:dyDescent="0.25">
      <c r="A145" t="s">
        <v>222</v>
      </c>
      <c r="B145" t="s">
        <v>253</v>
      </c>
      <c r="C145">
        <v>2</v>
      </c>
      <c r="D145" t="s">
        <v>250</v>
      </c>
      <c r="E145">
        <f t="shared" si="0"/>
        <v>5</v>
      </c>
      <c r="F145">
        <v>0</v>
      </c>
    </row>
    <row r="146" spans="1:6" x14ac:dyDescent="0.25">
      <c r="A146" t="s">
        <v>222</v>
      </c>
      <c r="B146" t="s">
        <v>253</v>
      </c>
      <c r="C146">
        <v>1</v>
      </c>
      <c r="D146" t="s">
        <v>249</v>
      </c>
      <c r="E146">
        <f t="shared" si="0"/>
        <v>12.5</v>
      </c>
      <c r="F146">
        <v>0</v>
      </c>
    </row>
    <row r="147" spans="1:6" x14ac:dyDescent="0.25">
      <c r="A147" t="s">
        <v>222</v>
      </c>
      <c r="B147" t="s">
        <v>253</v>
      </c>
      <c r="C147">
        <v>1</v>
      </c>
      <c r="D147" t="s">
        <v>250</v>
      </c>
      <c r="E147">
        <f t="shared" si="0"/>
        <v>6.25</v>
      </c>
      <c r="F147">
        <v>0</v>
      </c>
    </row>
    <row r="148" spans="1:6" x14ac:dyDescent="0.25">
      <c r="A148" t="s">
        <v>222</v>
      </c>
      <c r="B148" t="s">
        <v>254</v>
      </c>
      <c r="C148" t="s">
        <v>248</v>
      </c>
      <c r="D148" t="s">
        <v>249</v>
      </c>
      <c r="E148">
        <f t="shared" si="0"/>
        <v>0</v>
      </c>
      <c r="F148">
        <v>0</v>
      </c>
    </row>
    <row r="149" spans="1:6" x14ac:dyDescent="0.25">
      <c r="A149" t="s">
        <v>222</v>
      </c>
      <c r="B149" t="s">
        <v>254</v>
      </c>
      <c r="C149" t="s">
        <v>248</v>
      </c>
      <c r="D149" t="s">
        <v>250</v>
      </c>
      <c r="E149">
        <f t="shared" si="0"/>
        <v>0</v>
      </c>
      <c r="F149">
        <v>0</v>
      </c>
    </row>
    <row r="150" spans="1:6" x14ac:dyDescent="0.25">
      <c r="A150" t="s">
        <v>222</v>
      </c>
      <c r="B150" t="s">
        <v>254</v>
      </c>
      <c r="C150" t="s">
        <v>251</v>
      </c>
      <c r="D150" t="s">
        <v>249</v>
      </c>
      <c r="E150">
        <f t="shared" si="0"/>
        <v>0</v>
      </c>
      <c r="F150">
        <v>0</v>
      </c>
    </row>
    <row r="151" spans="1:6" x14ac:dyDescent="0.25">
      <c r="A151" t="s">
        <v>222</v>
      </c>
      <c r="B151" t="s">
        <v>254</v>
      </c>
      <c r="C151" t="s">
        <v>251</v>
      </c>
      <c r="D151" t="s">
        <v>250</v>
      </c>
      <c r="E151">
        <f t="shared" si="0"/>
        <v>0</v>
      </c>
      <c r="F151">
        <v>0</v>
      </c>
    </row>
    <row r="152" spans="1:6" x14ac:dyDescent="0.25">
      <c r="A152" t="s">
        <v>222</v>
      </c>
      <c r="B152" t="s">
        <v>254</v>
      </c>
      <c r="C152" t="s">
        <v>252</v>
      </c>
      <c r="D152" t="s">
        <v>249</v>
      </c>
      <c r="E152">
        <f t="shared" si="0"/>
        <v>0</v>
      </c>
      <c r="F152">
        <v>0</v>
      </c>
    </row>
    <row r="153" spans="1:6" x14ac:dyDescent="0.25">
      <c r="A153" t="s">
        <v>222</v>
      </c>
      <c r="B153" t="s">
        <v>254</v>
      </c>
      <c r="C153" t="s">
        <v>252</v>
      </c>
      <c r="D153" t="s">
        <v>250</v>
      </c>
      <c r="E153">
        <f t="shared" si="0"/>
        <v>0</v>
      </c>
      <c r="F153">
        <v>0</v>
      </c>
    </row>
    <row r="154" spans="1:6" x14ac:dyDescent="0.25">
      <c r="A154" t="s">
        <v>222</v>
      </c>
      <c r="B154" t="s">
        <v>254</v>
      </c>
      <c r="C154">
        <v>3</v>
      </c>
      <c r="D154" t="s">
        <v>249</v>
      </c>
      <c r="E154">
        <f t="shared" si="0"/>
        <v>0</v>
      </c>
      <c r="F154">
        <v>0</v>
      </c>
    </row>
    <row r="155" spans="1:6" x14ac:dyDescent="0.25">
      <c r="A155" t="s">
        <v>222</v>
      </c>
      <c r="B155" t="s">
        <v>254</v>
      </c>
      <c r="C155">
        <v>3</v>
      </c>
      <c r="D155" t="s">
        <v>250</v>
      </c>
      <c r="E155">
        <f t="shared" si="0"/>
        <v>0</v>
      </c>
      <c r="F155">
        <v>0</v>
      </c>
    </row>
    <row r="156" spans="1:6" x14ac:dyDescent="0.25">
      <c r="A156" t="s">
        <v>222</v>
      </c>
      <c r="B156" t="s">
        <v>254</v>
      </c>
      <c r="C156">
        <v>2</v>
      </c>
      <c r="D156" t="s">
        <v>249</v>
      </c>
      <c r="E156">
        <f t="shared" si="0"/>
        <v>0</v>
      </c>
      <c r="F156">
        <v>0</v>
      </c>
    </row>
    <row r="157" spans="1:6" x14ac:dyDescent="0.25">
      <c r="A157" t="s">
        <v>222</v>
      </c>
      <c r="B157" t="s">
        <v>254</v>
      </c>
      <c r="C157">
        <v>2</v>
      </c>
      <c r="D157" t="s">
        <v>250</v>
      </c>
      <c r="E157">
        <f t="shared" si="0"/>
        <v>0</v>
      </c>
      <c r="F157">
        <v>0</v>
      </c>
    </row>
    <row r="158" spans="1:6" x14ac:dyDescent="0.25">
      <c r="A158" t="s">
        <v>222</v>
      </c>
      <c r="B158" t="s">
        <v>254</v>
      </c>
      <c r="C158">
        <v>1</v>
      </c>
      <c r="D158" t="s">
        <v>249</v>
      </c>
      <c r="E158">
        <f t="shared" si="0"/>
        <v>0</v>
      </c>
      <c r="F158">
        <v>0</v>
      </c>
    </row>
    <row r="159" spans="1:6" x14ac:dyDescent="0.25">
      <c r="A159" t="s">
        <v>222</v>
      </c>
      <c r="B159" t="s">
        <v>254</v>
      </c>
      <c r="C159">
        <v>1</v>
      </c>
      <c r="D159" t="s">
        <v>250</v>
      </c>
      <c r="E159">
        <f t="shared" si="0"/>
        <v>0</v>
      </c>
      <c r="F159">
        <v>0</v>
      </c>
    </row>
    <row r="160" spans="1:6" x14ac:dyDescent="0.25">
      <c r="A160" t="s">
        <v>222</v>
      </c>
      <c r="B160" t="s">
        <v>255</v>
      </c>
      <c r="C160" t="s">
        <v>248</v>
      </c>
      <c r="D160" t="s">
        <v>249</v>
      </c>
      <c r="E160">
        <f t="shared" si="0"/>
        <v>1.25</v>
      </c>
      <c r="F160">
        <v>0</v>
      </c>
    </row>
    <row r="161" spans="1:6" x14ac:dyDescent="0.25">
      <c r="A161" t="s">
        <v>222</v>
      </c>
      <c r="B161" t="s">
        <v>255</v>
      </c>
      <c r="C161" t="s">
        <v>248</v>
      </c>
      <c r="D161" t="s">
        <v>250</v>
      </c>
      <c r="E161">
        <f t="shared" si="0"/>
        <v>1.25</v>
      </c>
      <c r="F161">
        <v>0</v>
      </c>
    </row>
    <row r="162" spans="1:6" x14ac:dyDescent="0.25">
      <c r="A162" t="s">
        <v>222</v>
      </c>
      <c r="B162" t="s">
        <v>255</v>
      </c>
      <c r="C162" t="s">
        <v>251</v>
      </c>
      <c r="D162" t="s">
        <v>249</v>
      </c>
      <c r="E162">
        <f t="shared" si="0"/>
        <v>7.5</v>
      </c>
      <c r="F162">
        <v>0</v>
      </c>
    </row>
    <row r="163" spans="1:6" x14ac:dyDescent="0.25">
      <c r="A163" t="s">
        <v>222</v>
      </c>
      <c r="B163" t="s">
        <v>255</v>
      </c>
      <c r="C163" t="s">
        <v>251</v>
      </c>
      <c r="D163" t="s">
        <v>250</v>
      </c>
      <c r="E163">
        <f t="shared" si="0"/>
        <v>3.75</v>
      </c>
      <c r="F163">
        <v>0</v>
      </c>
    </row>
    <row r="164" spans="1:6" x14ac:dyDescent="0.25">
      <c r="A164" t="s">
        <v>222</v>
      </c>
      <c r="B164" t="s">
        <v>255</v>
      </c>
      <c r="C164" t="s">
        <v>252</v>
      </c>
      <c r="D164" t="s">
        <v>249</v>
      </c>
      <c r="E164">
        <f t="shared" si="0"/>
        <v>7.5</v>
      </c>
      <c r="F164">
        <v>0</v>
      </c>
    </row>
    <row r="165" spans="1:6" x14ac:dyDescent="0.25">
      <c r="A165" t="s">
        <v>222</v>
      </c>
      <c r="B165" t="s">
        <v>255</v>
      </c>
      <c r="C165" t="s">
        <v>252</v>
      </c>
      <c r="D165" t="s">
        <v>250</v>
      </c>
      <c r="E165">
        <f t="shared" si="0"/>
        <v>3.75</v>
      </c>
      <c r="F165">
        <v>0</v>
      </c>
    </row>
    <row r="166" spans="1:6" x14ac:dyDescent="0.25">
      <c r="A166" t="s">
        <v>222</v>
      </c>
      <c r="B166" t="s">
        <v>255</v>
      </c>
      <c r="C166">
        <v>3</v>
      </c>
      <c r="D166" t="s">
        <v>249</v>
      </c>
      <c r="E166">
        <f t="shared" si="0"/>
        <v>12.5</v>
      </c>
      <c r="F166">
        <v>0</v>
      </c>
    </row>
    <row r="167" spans="1:6" x14ac:dyDescent="0.25">
      <c r="A167" t="s">
        <v>222</v>
      </c>
      <c r="B167" t="s">
        <v>255</v>
      </c>
      <c r="C167">
        <v>3</v>
      </c>
      <c r="D167" t="s">
        <v>250</v>
      </c>
      <c r="E167">
        <f t="shared" si="0"/>
        <v>6.25</v>
      </c>
      <c r="F167">
        <v>0</v>
      </c>
    </row>
    <row r="168" spans="1:6" x14ac:dyDescent="0.25">
      <c r="A168" t="s">
        <v>222</v>
      </c>
      <c r="B168" t="s">
        <v>255</v>
      </c>
      <c r="C168">
        <v>2</v>
      </c>
      <c r="D168" t="s">
        <v>249</v>
      </c>
      <c r="E168">
        <f t="shared" si="0"/>
        <v>15</v>
      </c>
      <c r="F168">
        <v>0</v>
      </c>
    </row>
    <row r="169" spans="1:6" x14ac:dyDescent="0.25">
      <c r="A169" t="s">
        <v>222</v>
      </c>
      <c r="B169" t="s">
        <v>255</v>
      </c>
      <c r="C169">
        <v>2</v>
      </c>
      <c r="D169" t="s">
        <v>250</v>
      </c>
      <c r="E169">
        <f t="shared" si="0"/>
        <v>7.5</v>
      </c>
      <c r="F169">
        <v>0</v>
      </c>
    </row>
    <row r="170" spans="1:6" x14ac:dyDescent="0.25">
      <c r="A170" t="s">
        <v>222</v>
      </c>
      <c r="B170" t="s">
        <v>255</v>
      </c>
      <c r="C170">
        <v>1</v>
      </c>
      <c r="D170" t="s">
        <v>249</v>
      </c>
      <c r="E170">
        <f t="shared" si="0"/>
        <v>17.5</v>
      </c>
      <c r="F170">
        <v>0</v>
      </c>
    </row>
    <row r="171" spans="1:6" x14ac:dyDescent="0.25">
      <c r="A171" t="s">
        <v>222</v>
      </c>
      <c r="B171" t="s">
        <v>255</v>
      </c>
      <c r="C171">
        <v>1</v>
      </c>
      <c r="D171" t="s">
        <v>250</v>
      </c>
      <c r="E171">
        <f t="shared" si="0"/>
        <v>8.75</v>
      </c>
      <c r="F171">
        <v>0</v>
      </c>
    </row>
    <row r="172" spans="1:6" x14ac:dyDescent="0.25">
      <c r="A172" t="s">
        <v>222</v>
      </c>
      <c r="B172" t="s">
        <v>256</v>
      </c>
      <c r="C172" t="s">
        <v>248</v>
      </c>
      <c r="D172" t="s">
        <v>249</v>
      </c>
      <c r="E172">
        <f t="shared" si="0"/>
        <v>2.5</v>
      </c>
      <c r="F172">
        <v>0</v>
      </c>
    </row>
    <row r="173" spans="1:6" x14ac:dyDescent="0.25">
      <c r="A173" t="s">
        <v>222</v>
      </c>
      <c r="B173" t="s">
        <v>256</v>
      </c>
      <c r="C173" t="s">
        <v>248</v>
      </c>
      <c r="D173" t="s">
        <v>250</v>
      </c>
      <c r="E173">
        <f t="shared" si="0"/>
        <v>2.5</v>
      </c>
      <c r="F173">
        <v>0</v>
      </c>
    </row>
    <row r="174" spans="1:6" x14ac:dyDescent="0.25">
      <c r="A174" t="s">
        <v>222</v>
      </c>
      <c r="B174" t="s">
        <v>256</v>
      </c>
      <c r="C174" t="s">
        <v>251</v>
      </c>
      <c r="D174" t="s">
        <v>249</v>
      </c>
      <c r="E174">
        <f t="shared" si="0"/>
        <v>15</v>
      </c>
      <c r="F174">
        <v>0</v>
      </c>
    </row>
    <row r="175" spans="1:6" x14ac:dyDescent="0.25">
      <c r="A175" t="s">
        <v>222</v>
      </c>
      <c r="B175" t="s">
        <v>256</v>
      </c>
      <c r="C175" t="s">
        <v>251</v>
      </c>
      <c r="D175" t="s">
        <v>250</v>
      </c>
      <c r="E175">
        <f t="shared" si="0"/>
        <v>7.5</v>
      </c>
      <c r="F175">
        <v>0</v>
      </c>
    </row>
    <row r="176" spans="1:6" x14ac:dyDescent="0.25">
      <c r="A176" t="s">
        <v>222</v>
      </c>
      <c r="B176" t="s">
        <v>256</v>
      </c>
      <c r="C176" t="s">
        <v>252</v>
      </c>
      <c r="D176" t="s">
        <v>249</v>
      </c>
      <c r="E176">
        <f t="shared" si="0"/>
        <v>15</v>
      </c>
      <c r="F176">
        <v>0</v>
      </c>
    </row>
    <row r="177" spans="1:6" x14ac:dyDescent="0.25">
      <c r="A177" t="s">
        <v>222</v>
      </c>
      <c r="B177" t="s">
        <v>256</v>
      </c>
      <c r="C177" t="s">
        <v>252</v>
      </c>
      <c r="D177" t="s">
        <v>250</v>
      </c>
      <c r="E177">
        <f t="shared" ref="E177:E183" si="1">1/4*E105</f>
        <v>7.5</v>
      </c>
      <c r="F177">
        <v>0</v>
      </c>
    </row>
    <row r="178" spans="1:6" x14ac:dyDescent="0.25">
      <c r="A178" t="s">
        <v>222</v>
      </c>
      <c r="B178" t="s">
        <v>256</v>
      </c>
      <c r="C178">
        <v>3</v>
      </c>
      <c r="D178" t="s">
        <v>249</v>
      </c>
      <c r="E178">
        <f t="shared" si="1"/>
        <v>20</v>
      </c>
      <c r="F178">
        <v>0</v>
      </c>
    </row>
    <row r="179" spans="1:6" x14ac:dyDescent="0.25">
      <c r="A179" t="s">
        <v>222</v>
      </c>
      <c r="B179" t="s">
        <v>256</v>
      </c>
      <c r="C179">
        <v>3</v>
      </c>
      <c r="D179" t="s">
        <v>250</v>
      </c>
      <c r="E179">
        <f t="shared" si="1"/>
        <v>10</v>
      </c>
      <c r="F179">
        <v>0</v>
      </c>
    </row>
    <row r="180" spans="1:6" x14ac:dyDescent="0.25">
      <c r="A180" t="s">
        <v>222</v>
      </c>
      <c r="B180" t="s">
        <v>256</v>
      </c>
      <c r="C180">
        <v>2</v>
      </c>
      <c r="D180" t="s">
        <v>249</v>
      </c>
      <c r="E180">
        <f t="shared" si="1"/>
        <v>22.5</v>
      </c>
      <c r="F180">
        <v>0</v>
      </c>
    </row>
    <row r="181" spans="1:6" x14ac:dyDescent="0.25">
      <c r="A181" t="s">
        <v>222</v>
      </c>
      <c r="B181" t="s">
        <v>256</v>
      </c>
      <c r="C181">
        <v>2</v>
      </c>
      <c r="D181" t="s">
        <v>250</v>
      </c>
      <c r="E181">
        <f t="shared" si="1"/>
        <v>11.25</v>
      </c>
      <c r="F181">
        <v>0</v>
      </c>
    </row>
    <row r="182" spans="1:6" x14ac:dyDescent="0.25">
      <c r="A182" t="s">
        <v>222</v>
      </c>
      <c r="B182" t="s">
        <v>256</v>
      </c>
      <c r="C182">
        <v>1</v>
      </c>
      <c r="D182" t="s">
        <v>249</v>
      </c>
      <c r="E182">
        <f t="shared" si="1"/>
        <v>25</v>
      </c>
      <c r="F182">
        <v>0</v>
      </c>
    </row>
    <row r="183" spans="1:6" x14ac:dyDescent="0.25">
      <c r="A183" t="s">
        <v>222</v>
      </c>
      <c r="B183" t="s">
        <v>256</v>
      </c>
      <c r="C183">
        <v>1</v>
      </c>
      <c r="D183" t="s">
        <v>250</v>
      </c>
      <c r="E183">
        <f t="shared" si="1"/>
        <v>12.5</v>
      </c>
      <c r="F183">
        <v>0</v>
      </c>
    </row>
    <row r="184" spans="1:6" x14ac:dyDescent="0.25">
      <c r="A184" t="s">
        <v>258</v>
      </c>
      <c r="B184" t="s">
        <v>247</v>
      </c>
      <c r="C184" t="s">
        <v>248</v>
      </c>
      <c r="D184" t="s">
        <v>249</v>
      </c>
      <c r="E184">
        <v>0</v>
      </c>
      <c r="F184">
        <v>0</v>
      </c>
    </row>
    <row r="185" spans="1:6" x14ac:dyDescent="0.25">
      <c r="A185" t="s">
        <v>258</v>
      </c>
      <c r="B185" t="s">
        <v>247</v>
      </c>
      <c r="C185" t="s">
        <v>248</v>
      </c>
      <c r="D185" t="s">
        <v>250</v>
      </c>
      <c r="E185">
        <v>0</v>
      </c>
      <c r="F185">
        <v>0</v>
      </c>
    </row>
    <row r="186" spans="1:6" x14ac:dyDescent="0.25">
      <c r="A186" t="s">
        <v>258</v>
      </c>
      <c r="B186" t="s">
        <v>247</v>
      </c>
      <c r="C186" t="s">
        <v>251</v>
      </c>
      <c r="D186" t="s">
        <v>249</v>
      </c>
      <c r="E186">
        <v>0</v>
      </c>
      <c r="F186">
        <v>0</v>
      </c>
    </row>
    <row r="187" spans="1:6" x14ac:dyDescent="0.25">
      <c r="A187" t="s">
        <v>258</v>
      </c>
      <c r="B187" t="s">
        <v>247</v>
      </c>
      <c r="C187" t="s">
        <v>251</v>
      </c>
      <c r="D187" t="s">
        <v>250</v>
      </c>
      <c r="E187">
        <v>0</v>
      </c>
      <c r="F187">
        <v>0</v>
      </c>
    </row>
    <row r="188" spans="1:6" x14ac:dyDescent="0.25">
      <c r="A188" t="s">
        <v>258</v>
      </c>
      <c r="B188" t="s">
        <v>247</v>
      </c>
      <c r="C188" t="s">
        <v>252</v>
      </c>
      <c r="D188" t="s">
        <v>249</v>
      </c>
      <c r="E188">
        <v>0</v>
      </c>
      <c r="F188">
        <v>0</v>
      </c>
    </row>
    <row r="189" spans="1:6" x14ac:dyDescent="0.25">
      <c r="A189" t="s">
        <v>258</v>
      </c>
      <c r="B189" t="s">
        <v>247</v>
      </c>
      <c r="C189" t="s">
        <v>252</v>
      </c>
      <c r="D189" t="s">
        <v>250</v>
      </c>
      <c r="E189">
        <v>0</v>
      </c>
      <c r="F189">
        <v>0</v>
      </c>
    </row>
    <row r="190" spans="1:6" x14ac:dyDescent="0.25">
      <c r="A190" t="s">
        <v>258</v>
      </c>
      <c r="B190" t="s">
        <v>247</v>
      </c>
      <c r="C190">
        <v>3</v>
      </c>
      <c r="D190" t="s">
        <v>249</v>
      </c>
      <c r="E190">
        <v>0</v>
      </c>
      <c r="F190">
        <v>0</v>
      </c>
    </row>
    <row r="191" spans="1:6" x14ac:dyDescent="0.25">
      <c r="A191" t="s">
        <v>258</v>
      </c>
      <c r="B191" t="s">
        <v>247</v>
      </c>
      <c r="C191">
        <v>3</v>
      </c>
      <c r="D191" t="s">
        <v>250</v>
      </c>
      <c r="E191">
        <v>0</v>
      </c>
      <c r="F191">
        <v>0</v>
      </c>
    </row>
    <row r="192" spans="1:6" x14ac:dyDescent="0.25">
      <c r="A192" t="s">
        <v>258</v>
      </c>
      <c r="B192" t="s">
        <v>247</v>
      </c>
      <c r="C192">
        <v>2</v>
      </c>
      <c r="D192" t="s">
        <v>249</v>
      </c>
      <c r="E192">
        <v>0</v>
      </c>
      <c r="F192">
        <v>0</v>
      </c>
    </row>
    <row r="193" spans="1:6" x14ac:dyDescent="0.25">
      <c r="A193" t="s">
        <v>258</v>
      </c>
      <c r="B193" t="s">
        <v>247</v>
      </c>
      <c r="C193">
        <v>2</v>
      </c>
      <c r="D193" t="s">
        <v>250</v>
      </c>
      <c r="E193">
        <v>0</v>
      </c>
      <c r="F193">
        <v>0</v>
      </c>
    </row>
    <row r="194" spans="1:6" x14ac:dyDescent="0.25">
      <c r="A194" t="s">
        <v>258</v>
      </c>
      <c r="B194" t="s">
        <v>247</v>
      </c>
      <c r="C194">
        <v>1</v>
      </c>
      <c r="D194" t="s">
        <v>249</v>
      </c>
      <c r="E194">
        <v>0</v>
      </c>
      <c r="F194">
        <v>0</v>
      </c>
    </row>
    <row r="195" spans="1:6" x14ac:dyDescent="0.25">
      <c r="A195" t="s">
        <v>258</v>
      </c>
      <c r="B195" t="s">
        <v>247</v>
      </c>
      <c r="C195">
        <v>1</v>
      </c>
      <c r="D195" t="s">
        <v>250</v>
      </c>
      <c r="E195">
        <v>0</v>
      </c>
      <c r="F195">
        <v>0</v>
      </c>
    </row>
    <row r="196" spans="1:6" x14ac:dyDescent="0.25">
      <c r="A196" t="s">
        <v>258</v>
      </c>
      <c r="B196" t="s">
        <v>253</v>
      </c>
      <c r="C196" t="s">
        <v>248</v>
      </c>
      <c r="D196" t="s">
        <v>249</v>
      </c>
      <c r="E196">
        <v>0</v>
      </c>
      <c r="F196">
        <v>0</v>
      </c>
    </row>
    <row r="197" spans="1:6" x14ac:dyDescent="0.25">
      <c r="A197" t="s">
        <v>258</v>
      </c>
      <c r="B197" t="s">
        <v>253</v>
      </c>
      <c r="C197" t="s">
        <v>248</v>
      </c>
      <c r="D197" t="s">
        <v>250</v>
      </c>
      <c r="E197">
        <v>0</v>
      </c>
      <c r="F197">
        <v>0</v>
      </c>
    </row>
    <row r="198" spans="1:6" x14ac:dyDescent="0.25">
      <c r="A198" t="s">
        <v>258</v>
      </c>
      <c r="B198" t="s">
        <v>253</v>
      </c>
      <c r="C198" t="s">
        <v>251</v>
      </c>
      <c r="D198" t="s">
        <v>249</v>
      </c>
      <c r="E198">
        <v>0</v>
      </c>
      <c r="F198">
        <v>0</v>
      </c>
    </row>
    <row r="199" spans="1:6" x14ac:dyDescent="0.25">
      <c r="A199" t="s">
        <v>258</v>
      </c>
      <c r="B199" t="s">
        <v>253</v>
      </c>
      <c r="C199" t="s">
        <v>251</v>
      </c>
      <c r="D199" t="s">
        <v>250</v>
      </c>
      <c r="E199">
        <v>0</v>
      </c>
      <c r="F199">
        <v>0</v>
      </c>
    </row>
    <row r="200" spans="1:6" x14ac:dyDescent="0.25">
      <c r="A200" t="s">
        <v>258</v>
      </c>
      <c r="B200" t="s">
        <v>253</v>
      </c>
      <c r="C200" t="s">
        <v>252</v>
      </c>
      <c r="D200" t="s">
        <v>249</v>
      </c>
      <c r="E200">
        <v>0</v>
      </c>
      <c r="F200">
        <v>0</v>
      </c>
    </row>
    <row r="201" spans="1:6" x14ac:dyDescent="0.25">
      <c r="A201" t="s">
        <v>258</v>
      </c>
      <c r="B201" t="s">
        <v>253</v>
      </c>
      <c r="C201" t="s">
        <v>252</v>
      </c>
      <c r="D201" t="s">
        <v>250</v>
      </c>
      <c r="E201">
        <v>0</v>
      </c>
      <c r="F201">
        <v>0</v>
      </c>
    </row>
    <row r="202" spans="1:6" x14ac:dyDescent="0.25">
      <c r="A202" t="s">
        <v>258</v>
      </c>
      <c r="B202" t="s">
        <v>253</v>
      </c>
      <c r="C202">
        <v>3</v>
      </c>
      <c r="D202" t="s">
        <v>249</v>
      </c>
      <c r="E202">
        <v>0</v>
      </c>
      <c r="F202">
        <v>0</v>
      </c>
    </row>
    <row r="203" spans="1:6" x14ac:dyDescent="0.25">
      <c r="A203" t="s">
        <v>258</v>
      </c>
      <c r="B203" t="s">
        <v>253</v>
      </c>
      <c r="C203">
        <v>3</v>
      </c>
      <c r="D203" t="s">
        <v>250</v>
      </c>
      <c r="E203">
        <v>0</v>
      </c>
      <c r="F203">
        <v>0</v>
      </c>
    </row>
    <row r="204" spans="1:6" x14ac:dyDescent="0.25">
      <c r="A204" t="s">
        <v>258</v>
      </c>
      <c r="B204" t="s">
        <v>253</v>
      </c>
      <c r="C204">
        <v>2</v>
      </c>
      <c r="D204" t="s">
        <v>249</v>
      </c>
      <c r="E204">
        <v>0</v>
      </c>
      <c r="F204">
        <v>0</v>
      </c>
    </row>
    <row r="205" spans="1:6" x14ac:dyDescent="0.25">
      <c r="A205" t="s">
        <v>258</v>
      </c>
      <c r="B205" t="s">
        <v>253</v>
      </c>
      <c r="C205">
        <v>2</v>
      </c>
      <c r="D205" t="s">
        <v>250</v>
      </c>
      <c r="E205">
        <v>0</v>
      </c>
      <c r="F205">
        <v>0</v>
      </c>
    </row>
    <row r="206" spans="1:6" x14ac:dyDescent="0.25">
      <c r="A206" t="s">
        <v>258</v>
      </c>
      <c r="B206" t="s">
        <v>253</v>
      </c>
      <c r="C206">
        <v>1</v>
      </c>
      <c r="D206" t="s">
        <v>249</v>
      </c>
      <c r="E206">
        <v>0</v>
      </c>
      <c r="F206">
        <v>0</v>
      </c>
    </row>
    <row r="207" spans="1:6" x14ac:dyDescent="0.25">
      <c r="A207" t="s">
        <v>258</v>
      </c>
      <c r="B207" t="s">
        <v>253</v>
      </c>
      <c r="C207">
        <v>1</v>
      </c>
      <c r="D207" t="s">
        <v>250</v>
      </c>
      <c r="E207">
        <v>0</v>
      </c>
      <c r="F207">
        <v>0</v>
      </c>
    </row>
    <row r="208" spans="1:6" x14ac:dyDescent="0.25">
      <c r="A208" t="s">
        <v>258</v>
      </c>
      <c r="B208" t="s">
        <v>254</v>
      </c>
      <c r="C208" t="s">
        <v>248</v>
      </c>
      <c r="D208" t="s">
        <v>249</v>
      </c>
      <c r="E208">
        <v>0</v>
      </c>
      <c r="F208">
        <v>0</v>
      </c>
    </row>
    <row r="209" spans="1:6" x14ac:dyDescent="0.25">
      <c r="A209" t="s">
        <v>258</v>
      </c>
      <c r="B209" t="s">
        <v>254</v>
      </c>
      <c r="C209" t="s">
        <v>248</v>
      </c>
      <c r="D209" t="s">
        <v>250</v>
      </c>
      <c r="E209">
        <v>0</v>
      </c>
      <c r="F209">
        <v>0</v>
      </c>
    </row>
    <row r="210" spans="1:6" x14ac:dyDescent="0.25">
      <c r="A210" t="s">
        <v>258</v>
      </c>
      <c r="B210" t="s">
        <v>254</v>
      </c>
      <c r="C210" t="s">
        <v>251</v>
      </c>
      <c r="D210" t="s">
        <v>249</v>
      </c>
      <c r="E210">
        <v>0</v>
      </c>
      <c r="F210">
        <v>0</v>
      </c>
    </row>
    <row r="211" spans="1:6" x14ac:dyDescent="0.25">
      <c r="A211" t="s">
        <v>258</v>
      </c>
      <c r="B211" t="s">
        <v>254</v>
      </c>
      <c r="C211" t="s">
        <v>251</v>
      </c>
      <c r="D211" t="s">
        <v>250</v>
      </c>
      <c r="E211">
        <v>0</v>
      </c>
      <c r="F211">
        <v>0</v>
      </c>
    </row>
    <row r="212" spans="1:6" x14ac:dyDescent="0.25">
      <c r="A212" t="s">
        <v>258</v>
      </c>
      <c r="B212" t="s">
        <v>254</v>
      </c>
      <c r="C212" t="s">
        <v>252</v>
      </c>
      <c r="D212" t="s">
        <v>249</v>
      </c>
      <c r="E212">
        <v>0</v>
      </c>
      <c r="F212">
        <v>0</v>
      </c>
    </row>
    <row r="213" spans="1:6" x14ac:dyDescent="0.25">
      <c r="A213" t="s">
        <v>258</v>
      </c>
      <c r="B213" t="s">
        <v>254</v>
      </c>
      <c r="C213" t="s">
        <v>252</v>
      </c>
      <c r="D213" t="s">
        <v>250</v>
      </c>
      <c r="E213">
        <v>0</v>
      </c>
      <c r="F213">
        <v>0</v>
      </c>
    </row>
    <row r="214" spans="1:6" x14ac:dyDescent="0.25">
      <c r="A214" t="s">
        <v>258</v>
      </c>
      <c r="B214" t="s">
        <v>254</v>
      </c>
      <c r="C214">
        <v>3</v>
      </c>
      <c r="D214" t="s">
        <v>249</v>
      </c>
      <c r="E214">
        <v>0</v>
      </c>
      <c r="F214">
        <v>0</v>
      </c>
    </row>
    <row r="215" spans="1:6" x14ac:dyDescent="0.25">
      <c r="A215" t="s">
        <v>258</v>
      </c>
      <c r="B215" t="s">
        <v>254</v>
      </c>
      <c r="C215">
        <v>3</v>
      </c>
      <c r="D215" t="s">
        <v>250</v>
      </c>
      <c r="E215">
        <v>0</v>
      </c>
      <c r="F215">
        <v>0</v>
      </c>
    </row>
    <row r="216" spans="1:6" x14ac:dyDescent="0.25">
      <c r="A216" t="s">
        <v>258</v>
      </c>
      <c r="B216" t="s">
        <v>254</v>
      </c>
      <c r="C216">
        <v>2</v>
      </c>
      <c r="D216" t="s">
        <v>249</v>
      </c>
      <c r="E216">
        <v>0</v>
      </c>
      <c r="F216">
        <v>0</v>
      </c>
    </row>
    <row r="217" spans="1:6" x14ac:dyDescent="0.25">
      <c r="A217" t="s">
        <v>258</v>
      </c>
      <c r="B217" t="s">
        <v>254</v>
      </c>
      <c r="C217">
        <v>2</v>
      </c>
      <c r="D217" t="s">
        <v>250</v>
      </c>
      <c r="E217">
        <v>3</v>
      </c>
      <c r="F217">
        <v>1</v>
      </c>
    </row>
    <row r="218" spans="1:6" x14ac:dyDescent="0.25">
      <c r="A218" t="s">
        <v>258</v>
      </c>
      <c r="B218" t="s">
        <v>254</v>
      </c>
      <c r="C218">
        <v>1</v>
      </c>
      <c r="D218" t="s">
        <v>249</v>
      </c>
      <c r="E218">
        <v>0</v>
      </c>
      <c r="F218">
        <v>0</v>
      </c>
    </row>
    <row r="219" spans="1:6" x14ac:dyDescent="0.25">
      <c r="A219" t="s">
        <v>258</v>
      </c>
      <c r="B219" t="s">
        <v>254</v>
      </c>
      <c r="C219">
        <v>1</v>
      </c>
      <c r="D219" t="s">
        <v>250</v>
      </c>
      <c r="E219">
        <v>0</v>
      </c>
      <c r="F219">
        <v>0</v>
      </c>
    </row>
    <row r="220" spans="1:6" x14ac:dyDescent="0.25">
      <c r="A220" t="s">
        <v>258</v>
      </c>
      <c r="B220" t="s">
        <v>255</v>
      </c>
      <c r="C220" t="s">
        <v>248</v>
      </c>
      <c r="D220" t="s">
        <v>249</v>
      </c>
      <c r="E220">
        <v>0</v>
      </c>
      <c r="F220">
        <v>0</v>
      </c>
    </row>
    <row r="221" spans="1:6" x14ac:dyDescent="0.25">
      <c r="A221" t="s">
        <v>258</v>
      </c>
      <c r="B221" t="s">
        <v>255</v>
      </c>
      <c r="C221" t="s">
        <v>248</v>
      </c>
      <c r="D221" t="s">
        <v>250</v>
      </c>
      <c r="E221">
        <v>0</v>
      </c>
      <c r="F221">
        <v>0</v>
      </c>
    </row>
    <row r="222" spans="1:6" x14ac:dyDescent="0.25">
      <c r="A222" t="s">
        <v>258</v>
      </c>
      <c r="B222" t="s">
        <v>255</v>
      </c>
      <c r="C222" t="s">
        <v>251</v>
      </c>
      <c r="D222" t="s">
        <v>249</v>
      </c>
      <c r="E222">
        <v>0</v>
      </c>
      <c r="F222">
        <v>0</v>
      </c>
    </row>
    <row r="223" spans="1:6" x14ac:dyDescent="0.25">
      <c r="A223" t="s">
        <v>258</v>
      </c>
      <c r="B223" t="s">
        <v>255</v>
      </c>
      <c r="C223" t="s">
        <v>251</v>
      </c>
      <c r="D223" t="s">
        <v>250</v>
      </c>
      <c r="E223">
        <v>0</v>
      </c>
      <c r="F223">
        <v>0</v>
      </c>
    </row>
    <row r="224" spans="1:6" x14ac:dyDescent="0.25">
      <c r="A224" t="s">
        <v>258</v>
      </c>
      <c r="B224" t="s">
        <v>255</v>
      </c>
      <c r="C224" t="s">
        <v>252</v>
      </c>
      <c r="D224" t="s">
        <v>249</v>
      </c>
      <c r="E224">
        <v>0</v>
      </c>
      <c r="F224">
        <v>0</v>
      </c>
    </row>
    <row r="225" spans="1:6" x14ac:dyDescent="0.25">
      <c r="A225" t="s">
        <v>258</v>
      </c>
      <c r="B225" t="s">
        <v>255</v>
      </c>
      <c r="C225" t="s">
        <v>252</v>
      </c>
      <c r="D225" t="s">
        <v>250</v>
      </c>
      <c r="E225">
        <v>0</v>
      </c>
      <c r="F225">
        <v>0</v>
      </c>
    </row>
    <row r="226" spans="1:6" x14ac:dyDescent="0.25">
      <c r="A226" t="s">
        <v>258</v>
      </c>
      <c r="B226" t="s">
        <v>255</v>
      </c>
      <c r="C226">
        <v>3</v>
      </c>
      <c r="D226" t="s">
        <v>249</v>
      </c>
      <c r="E226">
        <v>0</v>
      </c>
      <c r="F226">
        <v>0</v>
      </c>
    </row>
    <row r="227" spans="1:6" x14ac:dyDescent="0.25">
      <c r="A227" t="s">
        <v>258</v>
      </c>
      <c r="B227" t="s">
        <v>255</v>
      </c>
      <c r="C227">
        <v>3</v>
      </c>
      <c r="D227" t="s">
        <v>250</v>
      </c>
      <c r="E227">
        <v>0</v>
      </c>
      <c r="F227">
        <v>0</v>
      </c>
    </row>
    <row r="228" spans="1:6" x14ac:dyDescent="0.25">
      <c r="A228" t="s">
        <v>258</v>
      </c>
      <c r="B228" t="s">
        <v>255</v>
      </c>
      <c r="C228">
        <v>2</v>
      </c>
      <c r="D228" t="s">
        <v>249</v>
      </c>
      <c r="E228">
        <v>0</v>
      </c>
      <c r="F228">
        <v>0</v>
      </c>
    </row>
    <row r="229" spans="1:6" x14ac:dyDescent="0.25">
      <c r="A229" t="s">
        <v>258</v>
      </c>
      <c r="B229" t="s">
        <v>255</v>
      </c>
      <c r="C229">
        <v>2</v>
      </c>
      <c r="D229" t="s">
        <v>250</v>
      </c>
      <c r="E229">
        <v>0</v>
      </c>
      <c r="F229">
        <v>0</v>
      </c>
    </row>
    <row r="230" spans="1:6" x14ac:dyDescent="0.25">
      <c r="A230" t="s">
        <v>258</v>
      </c>
      <c r="B230" t="s">
        <v>255</v>
      </c>
      <c r="C230">
        <v>1</v>
      </c>
      <c r="D230" t="s">
        <v>249</v>
      </c>
      <c r="E230">
        <v>0</v>
      </c>
      <c r="F230">
        <v>0</v>
      </c>
    </row>
    <row r="231" spans="1:6" x14ac:dyDescent="0.25">
      <c r="A231" t="s">
        <v>258</v>
      </c>
      <c r="B231" t="s">
        <v>255</v>
      </c>
      <c r="C231">
        <v>1</v>
      </c>
      <c r="D231" t="s">
        <v>250</v>
      </c>
      <c r="E231">
        <v>0</v>
      </c>
      <c r="F231">
        <v>0</v>
      </c>
    </row>
    <row r="232" spans="1:6" x14ac:dyDescent="0.25">
      <c r="A232" t="s">
        <v>258</v>
      </c>
      <c r="B232" t="s">
        <v>256</v>
      </c>
      <c r="C232" t="s">
        <v>248</v>
      </c>
      <c r="D232" t="s">
        <v>249</v>
      </c>
      <c r="E232">
        <v>0</v>
      </c>
      <c r="F232">
        <v>0</v>
      </c>
    </row>
    <row r="233" spans="1:6" x14ac:dyDescent="0.25">
      <c r="A233" t="s">
        <v>258</v>
      </c>
      <c r="B233" t="s">
        <v>256</v>
      </c>
      <c r="C233" t="s">
        <v>248</v>
      </c>
      <c r="D233" t="s">
        <v>250</v>
      </c>
      <c r="E233">
        <v>0</v>
      </c>
      <c r="F233">
        <v>0</v>
      </c>
    </row>
    <row r="234" spans="1:6" x14ac:dyDescent="0.25">
      <c r="A234" t="s">
        <v>258</v>
      </c>
      <c r="B234" t="s">
        <v>256</v>
      </c>
      <c r="C234" t="s">
        <v>251</v>
      </c>
      <c r="D234" t="s">
        <v>249</v>
      </c>
      <c r="E234">
        <v>0</v>
      </c>
      <c r="F234">
        <v>0</v>
      </c>
    </row>
    <row r="235" spans="1:6" x14ac:dyDescent="0.25">
      <c r="A235" t="s">
        <v>258</v>
      </c>
      <c r="B235" t="s">
        <v>256</v>
      </c>
      <c r="C235" t="s">
        <v>251</v>
      </c>
      <c r="D235" t="s">
        <v>250</v>
      </c>
      <c r="E235">
        <v>0</v>
      </c>
      <c r="F235">
        <v>0</v>
      </c>
    </row>
    <row r="236" spans="1:6" x14ac:dyDescent="0.25">
      <c r="A236" t="s">
        <v>258</v>
      </c>
      <c r="B236" t="s">
        <v>256</v>
      </c>
      <c r="C236" t="s">
        <v>252</v>
      </c>
      <c r="D236" t="s">
        <v>249</v>
      </c>
      <c r="E236">
        <v>0</v>
      </c>
      <c r="F236">
        <v>0</v>
      </c>
    </row>
    <row r="237" spans="1:6" x14ac:dyDescent="0.25">
      <c r="A237" t="s">
        <v>258</v>
      </c>
      <c r="B237" t="s">
        <v>256</v>
      </c>
      <c r="C237" t="s">
        <v>252</v>
      </c>
      <c r="D237" t="s">
        <v>250</v>
      </c>
      <c r="E237">
        <v>0</v>
      </c>
      <c r="F237">
        <v>0</v>
      </c>
    </row>
    <row r="238" spans="1:6" x14ac:dyDescent="0.25">
      <c r="A238" t="s">
        <v>258</v>
      </c>
      <c r="B238" t="s">
        <v>256</v>
      </c>
      <c r="C238">
        <v>3</v>
      </c>
      <c r="D238" t="s">
        <v>249</v>
      </c>
      <c r="E238">
        <v>0</v>
      </c>
      <c r="F238">
        <v>0</v>
      </c>
    </row>
    <row r="239" spans="1:6" x14ac:dyDescent="0.25">
      <c r="A239" t="s">
        <v>258</v>
      </c>
      <c r="B239" t="s">
        <v>256</v>
      </c>
      <c r="C239">
        <v>3</v>
      </c>
      <c r="D239" t="s">
        <v>250</v>
      </c>
      <c r="E239">
        <v>0</v>
      </c>
      <c r="F239">
        <v>0</v>
      </c>
    </row>
    <row r="240" spans="1:6" x14ac:dyDescent="0.25">
      <c r="A240" t="s">
        <v>258</v>
      </c>
      <c r="B240" t="s">
        <v>256</v>
      </c>
      <c r="C240">
        <v>2</v>
      </c>
      <c r="D240" t="s">
        <v>249</v>
      </c>
      <c r="E240">
        <v>0</v>
      </c>
      <c r="F240">
        <v>0</v>
      </c>
    </row>
    <row r="241" spans="1:6" x14ac:dyDescent="0.25">
      <c r="A241" t="s">
        <v>258</v>
      </c>
      <c r="B241" t="s">
        <v>256</v>
      </c>
      <c r="C241">
        <v>2</v>
      </c>
      <c r="D241" t="s">
        <v>250</v>
      </c>
      <c r="E241">
        <v>0</v>
      </c>
      <c r="F241">
        <v>0</v>
      </c>
    </row>
    <row r="242" spans="1:6" x14ac:dyDescent="0.25">
      <c r="A242" t="s">
        <v>258</v>
      </c>
      <c r="B242" t="s">
        <v>256</v>
      </c>
      <c r="C242">
        <v>1</v>
      </c>
      <c r="D242" t="s">
        <v>249</v>
      </c>
      <c r="E242">
        <v>0</v>
      </c>
      <c r="F242">
        <v>0</v>
      </c>
    </row>
    <row r="243" spans="1:6" x14ac:dyDescent="0.25">
      <c r="A243" t="s">
        <v>258</v>
      </c>
      <c r="B243" t="s">
        <v>256</v>
      </c>
      <c r="C243">
        <v>1</v>
      </c>
      <c r="D243" t="s">
        <v>250</v>
      </c>
      <c r="E243">
        <v>0</v>
      </c>
      <c r="F243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pontszamokMentese">
          <controlPr defaultSize="0" autoLine="0" autoPict="0" r:id="rId4">
            <anchor moveWithCells="1">
              <from>
                <xdr:col>7</xdr:col>
                <xdr:colOff>19050</xdr:colOff>
                <xdr:row>0</xdr:row>
                <xdr:rowOff>152400</xdr:rowOff>
              </from>
              <to>
                <xdr:col>9</xdr:col>
                <xdr:colOff>219075</xdr:colOff>
                <xdr:row>2</xdr:row>
                <xdr:rowOff>171450</xdr:rowOff>
              </to>
            </anchor>
          </controlPr>
        </control>
      </mc:Choice>
      <mc:Fallback>
        <control shapeId="9217" r:id="rId3" name="pontszamokMentes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012B9-AAEE-4854-BF70-7BAE66D1A115}">
  <sheetPr codeName="Sheet3"/>
  <dimension ref="A1:A29"/>
  <sheetViews>
    <sheetView topLeftCell="A7" workbookViewId="0">
      <selection activeCell="A2" sqref="A2:A29"/>
    </sheetView>
  </sheetViews>
  <sheetFormatPr defaultRowHeight="15" x14ac:dyDescent="0.25"/>
  <cols>
    <col min="1" max="1" width="20" bestFit="1" customWidth="1"/>
  </cols>
  <sheetData>
    <row r="1" spans="1:1" x14ac:dyDescent="0.25">
      <c r="A1" s="4" t="s">
        <v>3</v>
      </c>
    </row>
    <row r="2" spans="1:1" x14ac:dyDescent="0.25">
      <c r="A2" t="s">
        <v>266</v>
      </c>
    </row>
    <row r="3" spans="1:1" x14ac:dyDescent="0.25">
      <c r="A3" t="s">
        <v>267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264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265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  <row r="27" spans="1:1" x14ac:dyDescent="0.25">
      <c r="A27" t="s">
        <v>25</v>
      </c>
    </row>
    <row r="28" spans="1:1" x14ac:dyDescent="0.25">
      <c r="A28" t="s">
        <v>26</v>
      </c>
    </row>
    <row r="29" spans="1:1" x14ac:dyDescent="0.25">
      <c r="A29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osztályok</vt:lpstr>
      <vt:lpstr>Sheet1</vt:lpstr>
      <vt:lpstr>tanárok</vt:lpstr>
      <vt:lpstr>tanárok listája</vt:lpstr>
      <vt:lpstr>jelszavak beállítása</vt:lpstr>
      <vt:lpstr>adattábla létrehozás</vt:lpstr>
      <vt:lpstr>versenyek frissitese</vt:lpstr>
      <vt:lpstr>országos olimpiák</vt:lpstr>
      <vt:lpstr>támogatott versenyek</vt:lpstr>
      <vt:lpstr>nem támogatott versenyek</vt:lpstr>
      <vt:lpstr>pontszámok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Lag0sa</dc:creator>
  <cp:lastModifiedBy>Lag0sa</cp:lastModifiedBy>
  <dcterms:created xsi:type="dcterms:W3CDTF">2019-12-21T11:10:16Z</dcterms:created>
  <dcterms:modified xsi:type="dcterms:W3CDTF">2020-01-23T19:38:01Z</dcterms:modified>
</cp:coreProperties>
</file>